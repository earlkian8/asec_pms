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G\OneDrive\Desktop\Desktop\AS ENGINEERING CONSULTANCY\2025\Montenegro\"/>
    </mc:Choice>
  </mc:AlternateContent>
  <xr:revisionPtr revIDLastSave="0" documentId="13_ncr:1_{2DD8F6E5-28F7-47D6-8D3E-5FB208564C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ntenegro" sheetId="10" r:id="rId1"/>
    <sheet name="Sheet1" sheetId="11" r:id="rId2"/>
  </sheets>
  <definedNames>
    <definedName name="_xlnm.Print_Area" localSheetId="0">Montenegro!$A$7:$F$426</definedName>
    <definedName name="_xlnm.Print_Area" localSheetId="1">Sheet1!$A$7:$F$85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11" l="1"/>
  <c r="F77" i="11"/>
  <c r="F76" i="11"/>
  <c r="F75" i="11"/>
  <c r="F79" i="11" s="1"/>
  <c r="F59" i="11"/>
  <c r="F60" i="11"/>
  <c r="F61" i="11" s="1"/>
  <c r="F72" i="11"/>
  <c r="F71" i="11"/>
  <c r="F70" i="11"/>
  <c r="F67" i="11"/>
  <c r="F66" i="11"/>
  <c r="F65" i="11"/>
  <c r="F64" i="11"/>
  <c r="F63" i="11"/>
  <c r="F56" i="11"/>
  <c r="F57" i="11" s="1"/>
  <c r="A16" i="11"/>
  <c r="F30" i="10"/>
  <c r="F419" i="10"/>
  <c r="A22" i="10"/>
  <c r="A21" i="10"/>
  <c r="A20" i="10"/>
  <c r="A19" i="10"/>
  <c r="A18" i="10"/>
  <c r="A17" i="10"/>
  <c r="A16" i="10"/>
  <c r="F409" i="10"/>
  <c r="F408" i="10"/>
  <c r="F417" i="10"/>
  <c r="F416" i="10"/>
  <c r="F415" i="10"/>
  <c r="F412" i="10"/>
  <c r="F407" i="10"/>
  <c r="F406" i="10"/>
  <c r="F405" i="10"/>
  <c r="F404" i="10"/>
  <c r="F403" i="10"/>
  <c r="F402" i="10"/>
  <c r="F389" i="10"/>
  <c r="F395" i="10"/>
  <c r="F394" i="10"/>
  <c r="F393" i="10"/>
  <c r="F392" i="10"/>
  <c r="F391" i="10"/>
  <c r="F390" i="10"/>
  <c r="F388" i="10"/>
  <c r="F387" i="10"/>
  <c r="F374" i="10"/>
  <c r="F373" i="10"/>
  <c r="F372" i="10"/>
  <c r="F371" i="10"/>
  <c r="F370" i="10"/>
  <c r="F369" i="10"/>
  <c r="F384" i="10"/>
  <c r="F383" i="10"/>
  <c r="F382" i="10"/>
  <c r="F381" i="10"/>
  <c r="F380" i="10"/>
  <c r="F379" i="10"/>
  <c r="F378" i="10"/>
  <c r="F377" i="10"/>
  <c r="F362" i="10"/>
  <c r="F361" i="10"/>
  <c r="F360" i="10"/>
  <c r="F359" i="10"/>
  <c r="F358" i="10"/>
  <c r="F357" i="10"/>
  <c r="F356" i="10"/>
  <c r="F337" i="10"/>
  <c r="F336" i="10"/>
  <c r="F335" i="10"/>
  <c r="F334" i="10"/>
  <c r="F333" i="10"/>
  <c r="F281" i="10"/>
  <c r="F282" i="10" s="1"/>
  <c r="F16" i="11" l="1"/>
  <c r="F73" i="11"/>
  <c r="F68" i="11"/>
  <c r="F410" i="10"/>
  <c r="F413" i="10"/>
  <c r="F418" i="10"/>
  <c r="F396" i="10"/>
  <c r="F397" i="10" s="1"/>
  <c r="F375" i="10"/>
  <c r="F385" i="10"/>
  <c r="F19" i="11" l="1"/>
  <c r="F20" i="11" s="1"/>
  <c r="F21" i="10"/>
  <c r="F22" i="10"/>
  <c r="F21" i="11" l="1"/>
  <c r="F278" i="10"/>
  <c r="F24" i="11" l="1"/>
  <c r="F23" i="11"/>
  <c r="F277" i="10"/>
  <c r="F276" i="10"/>
  <c r="F275" i="10"/>
  <c r="F274" i="10"/>
  <c r="F273" i="10"/>
  <c r="F272" i="10"/>
  <c r="F271" i="10"/>
  <c r="F321" i="10"/>
  <c r="F320" i="10"/>
  <c r="F319" i="10"/>
  <c r="F318" i="10"/>
  <c r="F311" i="10"/>
  <c r="F310" i="10"/>
  <c r="F309" i="10"/>
  <c r="F308" i="10"/>
  <c r="F307" i="10"/>
  <c r="F306" i="10"/>
  <c r="F305" i="10"/>
  <c r="F304" i="10"/>
  <c r="F303" i="10"/>
  <c r="F289" i="10"/>
  <c r="F290" i="10"/>
  <c r="F291" i="10"/>
  <c r="F292" i="10"/>
  <c r="F293" i="10"/>
  <c r="F288" i="10"/>
  <c r="F317" i="10"/>
  <c r="F316" i="10"/>
  <c r="F315" i="10"/>
  <c r="F314" i="10"/>
  <c r="F302" i="10"/>
  <c r="F301" i="10"/>
  <c r="F298" i="10"/>
  <c r="F297" i="10"/>
  <c r="F296" i="10"/>
  <c r="F258" i="10"/>
  <c r="F257" i="10"/>
  <c r="F233" i="10"/>
  <c r="F234" i="10"/>
  <c r="F235" i="10"/>
  <c r="F236" i="10"/>
  <c r="F237" i="10"/>
  <c r="F238" i="10"/>
  <c r="F239" i="10"/>
  <c r="F240" i="10"/>
  <c r="F241" i="10"/>
  <c r="F268" i="10"/>
  <c r="F267" i="10"/>
  <c r="F266" i="10"/>
  <c r="F265" i="10"/>
  <c r="F262" i="10"/>
  <c r="F261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32" i="10"/>
  <c r="F25" i="11" l="1"/>
  <c r="F29" i="11" s="1"/>
  <c r="F263" i="10"/>
  <c r="F259" i="10"/>
  <c r="F279" i="10"/>
  <c r="F322" i="10"/>
  <c r="F312" i="10"/>
  <c r="F299" i="10"/>
  <c r="F294" i="10"/>
  <c r="F269" i="10"/>
  <c r="F242" i="10"/>
  <c r="F283" i="10" l="1"/>
  <c r="F18" i="10" s="1"/>
  <c r="F323" i="10"/>
  <c r="F19" i="10" s="1"/>
  <c r="F134" i="10" l="1"/>
  <c r="F133" i="10"/>
  <c r="F132" i="10"/>
  <c r="F131" i="10"/>
  <c r="F130" i="10"/>
  <c r="F129" i="10"/>
  <c r="F128" i="10"/>
  <c r="F127" i="10"/>
  <c r="F126" i="10"/>
  <c r="F125" i="10"/>
  <c r="F124" i="10"/>
  <c r="F224" i="10"/>
  <c r="F223" i="10"/>
  <c r="F222" i="10"/>
  <c r="F218" i="10"/>
  <c r="F217" i="10"/>
  <c r="F215" i="10"/>
  <c r="F213" i="10"/>
  <c r="F211" i="10"/>
  <c r="F210" i="10"/>
  <c r="F208" i="10"/>
  <c r="F220" i="10"/>
  <c r="F219" i="10"/>
  <c r="F214" i="10"/>
  <c r="F212" i="10"/>
  <c r="F207" i="10"/>
  <c r="F135" i="10" l="1"/>
  <c r="F221" i="10"/>
  <c r="F209" i="10"/>
  <c r="F216" i="10"/>
  <c r="F225" i="10"/>
  <c r="F226" i="10" l="1"/>
  <c r="F68" i="10" l="1"/>
  <c r="F204" i="10"/>
  <c r="F203" i="10"/>
  <c r="F202" i="10"/>
  <c r="F201" i="10"/>
  <c r="F200" i="10"/>
  <c r="F191" i="10"/>
  <c r="F190" i="10"/>
  <c r="F189" i="10"/>
  <c r="F188" i="10"/>
  <c r="F187" i="10"/>
  <c r="F197" i="10"/>
  <c r="F196" i="10"/>
  <c r="F195" i="10"/>
  <c r="F194" i="10"/>
  <c r="F193" i="10"/>
  <c r="F192" i="10"/>
  <c r="F184" i="10"/>
  <c r="F183" i="10"/>
  <c r="F182" i="10"/>
  <c r="F181" i="10"/>
  <c r="F180" i="10"/>
  <c r="F179" i="10"/>
  <c r="F152" i="10"/>
  <c r="F153" i="10"/>
  <c r="F175" i="10"/>
  <c r="F173" i="10"/>
  <c r="F171" i="10"/>
  <c r="F170" i="10"/>
  <c r="F176" i="10"/>
  <c r="F174" i="10"/>
  <c r="F172" i="10"/>
  <c r="F167" i="10"/>
  <c r="F166" i="10"/>
  <c r="F165" i="10"/>
  <c r="F164" i="10"/>
  <c r="F163" i="10"/>
  <c r="F162" i="10"/>
  <c r="F157" i="10"/>
  <c r="F168" i="10" l="1"/>
  <c r="F205" i="10"/>
  <c r="F198" i="10"/>
  <c r="F185" i="10"/>
  <c r="F177" i="10"/>
  <c r="F147" i="10"/>
  <c r="F146" i="10"/>
  <c r="F121" i="10"/>
  <c r="F120" i="10"/>
  <c r="F119" i="10"/>
  <c r="F118" i="10"/>
  <c r="F117" i="10"/>
  <c r="F113" i="10"/>
  <c r="F111" i="10"/>
  <c r="F98" i="10"/>
  <c r="F97" i="10"/>
  <c r="F96" i="10"/>
  <c r="F95" i="10"/>
  <c r="F94" i="10"/>
  <c r="F93" i="10"/>
  <c r="F84" i="10"/>
  <c r="F85" i="10"/>
  <c r="F86" i="10"/>
  <c r="F83" i="10"/>
  <c r="F122" i="10" l="1"/>
  <c r="F99" i="10"/>
  <c r="F87" i="10"/>
  <c r="F80" i="10" l="1"/>
  <c r="F79" i="10"/>
  <c r="F78" i="10"/>
  <c r="F77" i="10"/>
  <c r="F76" i="10"/>
  <c r="F75" i="10" l="1"/>
  <c r="F74" i="10"/>
  <c r="F347" i="10"/>
  <c r="F81" i="10" l="1"/>
  <c r="F348" i="10" l="1"/>
  <c r="F346" i="10"/>
  <c r="F338" i="10"/>
  <c r="F332" i="10"/>
  <c r="F331" i="10"/>
  <c r="F330" i="10"/>
  <c r="F329" i="10"/>
  <c r="F328" i="10"/>
  <c r="F339" i="10" s="1"/>
  <c r="F342" i="10"/>
  <c r="F114" i="10"/>
  <c r="F109" i="10"/>
  <c r="F106" i="10"/>
  <c r="F105" i="10"/>
  <c r="F104" i="10"/>
  <c r="F103" i="10"/>
  <c r="F102" i="10"/>
  <c r="F101" i="10"/>
  <c r="F355" i="10"/>
  <c r="F354" i="10"/>
  <c r="F353" i="10"/>
  <c r="F352" i="10"/>
  <c r="F351" i="10"/>
  <c r="F363" i="10" s="1"/>
  <c r="F343" i="10"/>
  <c r="F341" i="10"/>
  <c r="F159" i="10"/>
  <c r="F158" i="10"/>
  <c r="F156" i="10"/>
  <c r="F155" i="10"/>
  <c r="F154" i="10"/>
  <c r="F151" i="10"/>
  <c r="F160" i="10" s="1"/>
  <c r="F148" i="10"/>
  <c r="F145" i="10"/>
  <c r="F144" i="10"/>
  <c r="F143" i="10"/>
  <c r="F142" i="10"/>
  <c r="F141" i="10"/>
  <c r="F140" i="10"/>
  <c r="F139" i="10"/>
  <c r="F138" i="10"/>
  <c r="F137" i="10"/>
  <c r="F112" i="10"/>
  <c r="F110" i="10"/>
  <c r="F71" i="10"/>
  <c r="F72" i="10" s="1"/>
  <c r="F88" i="10" s="1"/>
  <c r="F16" i="10" s="1"/>
  <c r="F67" i="10"/>
  <c r="F69" i="10" s="1"/>
  <c r="F349" i="10" l="1"/>
  <c r="F115" i="10"/>
  <c r="F149" i="10"/>
  <c r="F107" i="10"/>
  <c r="F344" i="10"/>
  <c r="F364" i="10" s="1"/>
  <c r="F20" i="10" s="1"/>
  <c r="F227" i="10" l="1"/>
  <c r="F17" i="10" s="1"/>
  <c r="F25" i="10" s="1"/>
  <c r="F26" i="10" s="1"/>
  <c r="F27" i="10" l="1"/>
  <c r="F29" i="10" l="1"/>
  <c r="F31" i="10" s="1"/>
  <c r="F35" i="10" s="1"/>
</calcChain>
</file>

<file path=xl/sharedStrings.xml><?xml version="1.0" encoding="utf-8"?>
<sst xmlns="http://schemas.openxmlformats.org/spreadsheetml/2006/main" count="866" uniqueCount="350">
  <si>
    <t>PROJECT TITLE</t>
  </si>
  <si>
    <t>LOCATION</t>
  </si>
  <si>
    <t>SUBJECT</t>
  </si>
  <si>
    <t>DETAILED ESTIMATE</t>
  </si>
  <si>
    <t>OWNER</t>
  </si>
  <si>
    <t xml:space="preserve"> </t>
  </si>
  <si>
    <t>SUMMARY OF ESTIMATED  PROJECT CONSTRUCTION COST</t>
  </si>
  <si>
    <t>Php</t>
  </si>
  <si>
    <t xml:space="preserve">                                                            DIRECT COST</t>
  </si>
  <si>
    <t>TOTAL ESTIMATED DIRECT COST</t>
  </si>
  <si>
    <t xml:space="preserve">                                                           INDIRECT COST</t>
  </si>
  <si>
    <t>TOTAL ESTIMATED INDIRECT COST</t>
  </si>
  <si>
    <t>TOTAL PROJECT CONSTRUCTION COST</t>
  </si>
  <si>
    <t>PREPARED BY:</t>
  </si>
  <si>
    <t xml:space="preserve">  </t>
  </si>
  <si>
    <t>Description</t>
  </si>
  <si>
    <t>Quantity</t>
  </si>
  <si>
    <t>Unit</t>
  </si>
  <si>
    <t>Amount</t>
  </si>
  <si>
    <t>A. Mobilization and Demobilization</t>
  </si>
  <si>
    <t>Total</t>
  </si>
  <si>
    <t>lot</t>
  </si>
  <si>
    <t>Cement</t>
  </si>
  <si>
    <t>bags</t>
  </si>
  <si>
    <t>Gravel</t>
  </si>
  <si>
    <t>pcs</t>
  </si>
  <si>
    <t>Fine Sand</t>
  </si>
  <si>
    <t>can</t>
  </si>
  <si>
    <t>sub-total</t>
  </si>
  <si>
    <t>Materials :</t>
  </si>
  <si>
    <t>gals</t>
  </si>
  <si>
    <t>Carrying Channel</t>
  </si>
  <si>
    <t>set</t>
  </si>
  <si>
    <t>rolls</t>
  </si>
  <si>
    <t>sets</t>
  </si>
  <si>
    <t>pc</t>
  </si>
  <si>
    <t>Vulcaseal</t>
  </si>
  <si>
    <t>cans</t>
  </si>
  <si>
    <t>Notes:</t>
  </si>
  <si>
    <t>liter</t>
  </si>
  <si>
    <t>Bidet</t>
  </si>
  <si>
    <t>kgs</t>
  </si>
  <si>
    <t>sqm</t>
  </si>
  <si>
    <t>4" CHB</t>
  </si>
  <si>
    <t>php</t>
  </si>
  <si>
    <t xml:space="preserve">Total </t>
  </si>
  <si>
    <t xml:space="preserve">                 PROJECT CONSTRUCTION ESTIMATE</t>
  </si>
  <si>
    <t>PROFIT (CONTRACTORS FEE)</t>
  </si>
  <si>
    <t>OCM (OVERHEAD, CONTINGENCIES,MISCELLANEOUS)</t>
  </si>
  <si>
    <t>cu.m.</t>
  </si>
  <si>
    <t>1/2" x 4' x 8' Phenolic Board</t>
  </si>
  <si>
    <t>Solvent Cement</t>
  </si>
  <si>
    <t>Mobilization and Set-up</t>
  </si>
  <si>
    <t>Sand</t>
  </si>
  <si>
    <t>#16 G.I. Tie Wire</t>
  </si>
  <si>
    <t>10mm x 6m def. bar G33</t>
  </si>
  <si>
    <t>12mm x 6m def. bar G33</t>
  </si>
  <si>
    <t>2" x 2" x 12' Coco Lumber</t>
  </si>
  <si>
    <t>2" x 3" x 12' Coco Lumber</t>
  </si>
  <si>
    <t>4" PVC Sanitary Pipe</t>
  </si>
  <si>
    <t>Detailed Estimate</t>
  </si>
  <si>
    <t>Water Closet</t>
  </si>
  <si>
    <t>……....................................NOTHING FOLLOWS……....................................</t>
  </si>
  <si>
    <t>1. Water and electric bill should be paid by the owner.</t>
  </si>
  <si>
    <t>B. Demolition Works</t>
  </si>
  <si>
    <t>Demolition of Exisiting Structures</t>
  </si>
  <si>
    <t>Clearing and Grubbing</t>
  </si>
  <si>
    <t>C. Building Permit Processing</t>
  </si>
  <si>
    <t>Structural, Plumbing and Electrical Plan</t>
  </si>
  <si>
    <t xml:space="preserve">Soil Boring Test </t>
  </si>
  <si>
    <t>Fire Detection and Alarm System</t>
  </si>
  <si>
    <t>DOLE</t>
  </si>
  <si>
    <t>BFP Forms and Approval</t>
  </si>
  <si>
    <t>Notary Public</t>
  </si>
  <si>
    <t>Processing Fee</t>
  </si>
  <si>
    <t>Bunkhouse</t>
  </si>
  <si>
    <t>D. Ground Preparations</t>
  </si>
  <si>
    <t>cu.m</t>
  </si>
  <si>
    <t>Filling and Compaction (Gravel Base)</t>
  </si>
  <si>
    <t>Subgrade Compaction</t>
  </si>
  <si>
    <t>Tie Wire</t>
  </si>
  <si>
    <t>kg</t>
  </si>
  <si>
    <t>16mm Ø X 7.5m</t>
  </si>
  <si>
    <t>12mm Ø X 7.5m</t>
  </si>
  <si>
    <t>16mm x 6m def. bar G33</t>
  </si>
  <si>
    <t>B. Columns</t>
  </si>
  <si>
    <t>A. Footings/Foundation</t>
  </si>
  <si>
    <t>C. Beams</t>
  </si>
  <si>
    <t>16mmx6m def bar</t>
  </si>
  <si>
    <t>10mmx6m def bar</t>
  </si>
  <si>
    <t>12mmx6m def bar</t>
  </si>
  <si>
    <t>Excavation and Levelling/Layout</t>
  </si>
  <si>
    <t>6" PVC Sanitary Pipe</t>
  </si>
  <si>
    <t>PVC Fittings</t>
  </si>
  <si>
    <t>2" x 4" x 12' Coco Lumber</t>
  </si>
  <si>
    <t>Assorted Nails</t>
  </si>
  <si>
    <t>Scaffold Rental</t>
  </si>
  <si>
    <t>Form Oil/Release Agent</t>
  </si>
  <si>
    <t>liters</t>
  </si>
  <si>
    <t>Non-Slip Finish</t>
  </si>
  <si>
    <t>Handrails</t>
  </si>
  <si>
    <t>m</t>
  </si>
  <si>
    <t>1" x 2" x 12' Coco Lumber</t>
  </si>
  <si>
    <t>Steel Tread Plates</t>
  </si>
  <si>
    <t>Center Column</t>
  </si>
  <si>
    <t>Stringer/Support Flat Bars</t>
  </si>
  <si>
    <t>Handrail Pipe</t>
  </si>
  <si>
    <t>Vertical Bar Railing</t>
  </si>
  <si>
    <t>Base Plate and Anchors</t>
  </si>
  <si>
    <t>Pre-fabricated steel trusses, 6m span</t>
  </si>
  <si>
    <t>4” Ø GI pipe, 3.4m height</t>
  </si>
  <si>
    <t>0.5mm GI Sheets (6m x 1m)</t>
  </si>
  <si>
    <t>6mm Hardiflex Ceiling Panels (1.2m x 2.4m)</t>
  </si>
  <si>
    <t>Pipes for Vertical Support</t>
  </si>
  <si>
    <t>Tubular 2 x 4 x 1.5</t>
  </si>
  <si>
    <t>10mm. DIA. x 6m Round Bar (Sagrod)</t>
  </si>
  <si>
    <t>meters</t>
  </si>
  <si>
    <t>14" Cut Off Cutting Disk</t>
  </si>
  <si>
    <t>Grinding Disk</t>
  </si>
  <si>
    <t>Flap Disk Grit 100</t>
  </si>
  <si>
    <t>3/16 x 1 1/2 x 1 1/2 (Purlins Cleat)</t>
  </si>
  <si>
    <t>0.4  thk. G.I. Roofing 39  ft. long</t>
  </si>
  <si>
    <t>C-Purlins 2 x 3 x 1.2</t>
  </si>
  <si>
    <t>C-Purlins 2 x 8 x 1.2  SENEPA</t>
  </si>
  <si>
    <t>0.5 G.I. Gutter with Design</t>
  </si>
  <si>
    <t>0.5 G.I. Flashing with Design</t>
  </si>
  <si>
    <t>0.5 G.I. Ridge Roll</t>
  </si>
  <si>
    <t xml:space="preserve">10mm. Double Insulation Foam </t>
  </si>
  <si>
    <t>Welding Rod</t>
  </si>
  <si>
    <t>1 1//2" Tekscrew</t>
  </si>
  <si>
    <t>1/8 x 1/2 Blind Rivet</t>
  </si>
  <si>
    <t>Screwbit</t>
  </si>
  <si>
    <t>1/8 Drill Bit</t>
  </si>
  <si>
    <t>Steel Deck Sheet (Effective Width 1m)</t>
  </si>
  <si>
    <t>Blind Rivets with Washer</t>
  </si>
  <si>
    <t>Metal Furring for support under decking (38mm x 38mm x 0.6mm thick)</t>
  </si>
  <si>
    <t>Welding Rods</t>
  </si>
  <si>
    <t xml:space="preserve">Sand </t>
  </si>
  <si>
    <t xml:space="preserve">Gravel </t>
  </si>
  <si>
    <t>D. Groundfloor Slab on grade</t>
  </si>
  <si>
    <t>B. Sanitary Drainage lines</t>
  </si>
  <si>
    <t>PPR Pipe 20mm Ø (Cold Water Line, Main and Branches)</t>
  </si>
  <si>
    <t>PPR Pipe 25mm Ø (Main Riser)</t>
  </si>
  <si>
    <t>PPR Elbow 90° 20mm</t>
  </si>
  <si>
    <t>PPR Elbow 90° 25mm</t>
  </si>
  <si>
    <t>PPR Tee 20mm</t>
  </si>
  <si>
    <t>PPR Tee 25mm</t>
  </si>
  <si>
    <t>PPR Male Adapter 20mm × 1/2"</t>
  </si>
  <si>
    <t>PPR Ball Valve 25mm</t>
  </si>
  <si>
    <t>PPR Ball Valve 20mm</t>
  </si>
  <si>
    <t>PPR Pipe Hangers/Clamps 20mm</t>
  </si>
  <si>
    <t>PVC Pipe 100mm Ø (Soil Stack)</t>
  </si>
  <si>
    <t>PVC Pipe 75mm Ø (Waste Lines)</t>
  </si>
  <si>
    <t>PVC Pipe 50mm Ø (Lavatory &amp; Shower Drain)</t>
  </si>
  <si>
    <t>PVC Elbow 90° 100mm</t>
  </si>
  <si>
    <t>PVC Elbow 90° 75mm</t>
  </si>
  <si>
    <t>PVC Elbow 90° 50mm</t>
  </si>
  <si>
    <t>PVC Tee 100mm</t>
  </si>
  <si>
    <t>PVC Tee 75mm</t>
  </si>
  <si>
    <t>PVC Tee 50mm</t>
  </si>
  <si>
    <t>PVC Wye 100mm × 100mm</t>
  </si>
  <si>
    <t>PVC Wye 75mm × 75mm</t>
  </si>
  <si>
    <t>PVC Clean-out Plug 100mm</t>
  </si>
  <si>
    <t>PVC Floor Drain 100mm (w/ Trap)</t>
  </si>
  <si>
    <t>P-Trap 50mm (for Lavatories)</t>
  </si>
  <si>
    <t>PVC Pipe 50mm Ø (Vent Stack)</t>
  </si>
  <si>
    <t>PVC Pipe 75mm Ø (Roof Drain Downspout)</t>
  </si>
  <si>
    <t>Roof Drain Strainer 75mm</t>
  </si>
  <si>
    <t>Solvent Cement 400cc</t>
  </si>
  <si>
    <t>Teflon Tape 1/2"</t>
  </si>
  <si>
    <t>Pipe Hanger/Strap 50mm–100mm</t>
  </si>
  <si>
    <t>Fine Sand (for Pipe Bedding)</t>
  </si>
  <si>
    <t>LED Pinlights 12W (Indoor)</t>
  </si>
  <si>
    <t>Outdoor LED Pinlights 15W</t>
  </si>
  <si>
    <t>Outdoor Wall Lights</t>
  </si>
  <si>
    <t>Bed Frame LED Light</t>
  </si>
  <si>
    <t>Switches (single gang, 10A)</t>
  </si>
  <si>
    <t>Switches (double gang, 10A)</t>
  </si>
  <si>
    <t>B. Power System</t>
  </si>
  <si>
    <t>Duplex Convenience Outlet (15A)</t>
  </si>
  <si>
    <t>Quad Convenience Outlet (15A)</t>
  </si>
  <si>
    <t>Weatherproof Outlet for Parking Area</t>
  </si>
  <si>
    <t>THHN Wire #14 AWG (for lighting)</t>
  </si>
  <si>
    <t>THHN Wire #12 AWG (for outlets)</t>
  </si>
  <si>
    <t>THHN Wire #8 AWG (for aircon)</t>
  </si>
  <si>
    <t>THHN Wire #10 AWG (for AC and signage)</t>
  </si>
  <si>
    <t>PVC Pipe 20mm (conduit for lights &amp; outlets)</t>
  </si>
  <si>
    <t>PVC Pipe 32mm (conduit for AC and heavier load)</t>
  </si>
  <si>
    <t>Junction Box 4"x4"</t>
  </si>
  <si>
    <t>Utility Box (switches/outlets)</t>
  </si>
  <si>
    <t>Electrical Tape</t>
  </si>
  <si>
    <t>Cable Ties</t>
  </si>
  <si>
    <t>Clamp and Conduit Accessories</t>
  </si>
  <si>
    <t>Lot</t>
  </si>
  <si>
    <t>roll</t>
  </si>
  <si>
    <t>packs</t>
  </si>
  <si>
    <t>Main Panelboard with 24 slots (MCCB)</t>
  </si>
  <si>
    <t>Bolt-on Breakers 15A (Lighting)</t>
  </si>
  <si>
    <t>Bolt-on Breakers 20A (Outlets)</t>
  </si>
  <si>
    <t>Bolt-on Breakers 30A (Aircons)</t>
  </si>
  <si>
    <t>Bolt-on Breakers 25A (Aircon)</t>
  </si>
  <si>
    <t>Bolt-on Breakers 20A (Aircon)</t>
  </si>
  <si>
    <t>Sub Panelboard for Second Floor</t>
  </si>
  <si>
    <t>Disconnect Switch for Aircons (Outdoor)</t>
  </si>
  <si>
    <t>Lavatory</t>
  </si>
  <si>
    <t>Faucet</t>
  </si>
  <si>
    <t>Shower</t>
  </si>
  <si>
    <t>Toilet Drain</t>
  </si>
  <si>
    <t>Ceiling Exhaust</t>
  </si>
  <si>
    <t>Gate Valve 1/2 Plastic</t>
  </si>
  <si>
    <t>V-Architectural Works</t>
  </si>
  <si>
    <t>lump sum</t>
  </si>
  <si>
    <t>Hardiflex board (4×8 ft, 6 mm)</t>
  </si>
  <si>
    <t>sheets</t>
  </si>
  <si>
    <t>Carrying channel (12×38×5 m, 0.7 mm)</t>
  </si>
  <si>
    <t>Double-furring channel (19×50×5 m, 0.5 mm)</t>
  </si>
  <si>
    <t>Wall angle L (25×25×3 m, 0.4 mm)</t>
  </si>
  <si>
    <t>Hanger wire (galv. #14, 2.5 mm, 100 m)</t>
  </si>
  <si>
    <t>coil</t>
  </si>
  <si>
    <t xml:space="preserve">Tex screws (#8 × 2″)	</t>
  </si>
  <si>
    <t>Blind rivets (4×12 mm)</t>
  </si>
  <si>
    <t>Bubble insulation (double-foil, 1.2×20 m)</t>
  </si>
  <si>
    <t>Primer (interior)</t>
  </si>
  <si>
    <t>Expansion joint strip</t>
  </si>
  <si>
    <t>Paint Interior</t>
  </si>
  <si>
    <t>Paint Exterior</t>
  </si>
  <si>
    <t xml:space="preserve">Miscellaneous tools </t>
  </si>
  <si>
    <t>Tiles(Floor + Outdoor Wall)</t>
  </si>
  <si>
    <t>Tile Adhesive</t>
  </si>
  <si>
    <t>Tile Grout</t>
  </si>
  <si>
    <t>Fixed Window (3427x1250)</t>
  </si>
  <si>
    <t>Sliding Window (2101x1200, 3-panel)</t>
  </si>
  <si>
    <t>Awning Window (1200x600, double awning)</t>
  </si>
  <si>
    <t xml:space="preserve">Awning Window (550x550)	</t>
  </si>
  <si>
    <t xml:space="preserve">Sliding Window (1500x1200, 3-panel)	</t>
  </si>
  <si>
    <t xml:space="preserve">Awning Window (600x600)	</t>
  </si>
  <si>
    <t xml:space="preserve">Main Door (900x2100, solid core)	</t>
  </si>
  <si>
    <t xml:space="preserve">PWD Toilet Door (1100x2100, solid core)	</t>
  </si>
  <si>
    <t xml:space="preserve">Sliding Door (1400x2100, aluminum + glass)	</t>
  </si>
  <si>
    <t xml:space="preserve">Bedroom Doors (900x2100, solid core)	</t>
  </si>
  <si>
    <t xml:space="preserve">Toilet &amp; Bath Doors (700x2100, PVC or lightweight solid)	</t>
  </si>
  <si>
    <t xml:space="preserve">Fire Exit Door (900x2100, solid core panel with panic bar optional)	</t>
  </si>
  <si>
    <t>Marine Plywood (Premium)</t>
  </si>
  <si>
    <t>Formica Laminates</t>
  </si>
  <si>
    <t>Glass panels (6mm)</t>
  </si>
  <si>
    <t xml:space="preserve">Soft-close Hinges/Slides	</t>
  </si>
  <si>
    <t xml:space="preserve">Handles (Stainless/Matte)	</t>
  </si>
  <si>
    <t xml:space="preserve">Finishing materials	</t>
  </si>
  <si>
    <t>panels</t>
  </si>
  <si>
    <t>Marine Plywood (18mm cabinet grade)</t>
  </si>
  <si>
    <t xml:space="preserve">Marine Plywood (6mm)	</t>
  </si>
  <si>
    <t xml:space="preserve">Formica Laminates (Matte and Woodgrain)	</t>
  </si>
  <si>
    <t xml:space="preserve">Grooved PVC Panels / Fluted Laminates	</t>
  </si>
  <si>
    <t>6mm White Panels</t>
  </si>
  <si>
    <t xml:space="preserve">High-end Soft-close Hinges and Drawer Slides	</t>
  </si>
  <si>
    <t xml:space="preserve">Handles (small, minimalist)	</t>
  </si>
  <si>
    <t xml:space="preserve">Finishing Materials (PU paint/topcoat)	</t>
  </si>
  <si>
    <t>Edge banding</t>
  </si>
  <si>
    <t>Screws and Fasteners</t>
  </si>
  <si>
    <t xml:space="preserve">Grooved PVC Panels	</t>
  </si>
  <si>
    <t>Formica Laminates (Black)</t>
  </si>
  <si>
    <t xml:space="preserve">Cabinet Shelves (Fixed or Adjustable)	</t>
  </si>
  <si>
    <t>Wood Panels(Standard Cladding)</t>
  </si>
  <si>
    <t xml:space="preserve">Wooden Battens/Frames (for support)	</t>
  </si>
  <si>
    <t xml:space="preserve">Cladding Adhesive or Screws	</t>
  </si>
  <si>
    <t xml:space="preserve">Miscellaneous (Tools, Glue, etc.)	</t>
  </si>
  <si>
    <t xml:space="preserve">2x4 Tubular Steel (White Powder-Coated)	</t>
  </si>
  <si>
    <t xml:space="preserve">Red Oxide Primer (For Steel)	</t>
  </si>
  <si>
    <t xml:space="preserve">Red Oxide Paint (Finish)	</t>
  </si>
  <si>
    <t xml:space="preserve">Cladding Mounting Accessories (Screws, Brackets, etc.)	</t>
  </si>
  <si>
    <t xml:space="preserve">A. Claddings </t>
  </si>
  <si>
    <t>C. Signages</t>
  </si>
  <si>
    <t>Acrylic Lettering for Office Room Non Lighted (MONTENEGRO LINES)</t>
  </si>
  <si>
    <t>Acrylic Logo and Lighted (OUTDOOR SIGNAGE)</t>
  </si>
  <si>
    <t>Stainless Steel Channel Lettering Non Lighted (MONTENEGRO LINES AND TICKETING OFFICE)</t>
  </si>
  <si>
    <t>Steel for Railings at Stairs</t>
  </si>
  <si>
    <t>B. Railings</t>
  </si>
  <si>
    <t>Water Tank and Accessories</t>
  </si>
  <si>
    <t>E. 2nd Floor Slab</t>
  </si>
  <si>
    <t>F. Septic Tank</t>
  </si>
  <si>
    <t>G. Formworks and Scaffoldings</t>
  </si>
  <si>
    <t>H. Pwd Ramp</t>
  </si>
  <si>
    <t>I. Wall and Fence</t>
  </si>
  <si>
    <t>J. Concrete Stairs</t>
  </si>
  <si>
    <t>K. Fabricated Steel Spiral Staircase</t>
  </si>
  <si>
    <t>L. Waiting Area Roofing</t>
  </si>
  <si>
    <t>M. Main Building Roofing</t>
  </si>
  <si>
    <t>A. Water Supply Lines</t>
  </si>
  <si>
    <t>C. Storm Drainage lines</t>
  </si>
  <si>
    <t>D. Supports and Miscellaneous</t>
  </si>
  <si>
    <t>E. Toilet and Bath Fixtures</t>
  </si>
  <si>
    <t>F. Water Tank</t>
  </si>
  <si>
    <t>A. Lighting System</t>
  </si>
  <si>
    <t>C. Wiring and Conduits</t>
  </si>
  <si>
    <t>D. Panelboards, Breakers, and Controls</t>
  </si>
  <si>
    <t>A. Ceiling Finishes</t>
  </si>
  <si>
    <t>B. Painting Works (Walls in&amp;out, Ceiling and Doors)</t>
  </si>
  <si>
    <t>C. Tile Works</t>
  </si>
  <si>
    <t>D. Doors and Windows</t>
  </si>
  <si>
    <t>A. Warehouse Cabinet/Shelves</t>
  </si>
  <si>
    <t>B. Office Full Wall Shelves/Cabinet</t>
  </si>
  <si>
    <t>F. Ticketing Office Cabinetry/ Shelves</t>
  </si>
  <si>
    <t>II- Structural Works</t>
  </si>
  <si>
    <t>III- Plumbing Works</t>
  </si>
  <si>
    <t>IV- Electrical Works</t>
  </si>
  <si>
    <t>VI- Carpentry Works</t>
  </si>
  <si>
    <t>VII- Miscellaneous</t>
  </si>
  <si>
    <t>I- General Requirements</t>
  </si>
  <si>
    <t>Managing Director</t>
  </si>
  <si>
    <t>ENGR. ABDURAUF I. SAWADJAAN</t>
  </si>
  <si>
    <t>OVERALL MATERIALS COST</t>
  </si>
  <si>
    <t xml:space="preserve">OVERALL LABOR COST </t>
  </si>
  <si>
    <t>ZAMBOANGA CITY</t>
  </si>
  <si>
    <t>CONSTRUCTION OF 2 STOREY OFFICE BUILDING</t>
  </si>
  <si>
    <r>
      <t xml:space="preserve">2. </t>
    </r>
    <r>
      <rPr>
        <b/>
        <sz val="10"/>
        <rFont val="Century Gothic"/>
        <family val="2"/>
      </rPr>
      <t>Excluded</t>
    </r>
    <r>
      <rPr>
        <sz val="10"/>
        <rFont val="Century Gothic"/>
        <family val="2"/>
      </rPr>
      <t>:  Electronic Devices, Displays and others not listed above.</t>
    </r>
  </si>
  <si>
    <t>Gerald Panopio Manalo</t>
  </si>
  <si>
    <t>Representative</t>
  </si>
  <si>
    <t>Montenegro Shipping Lines Inc.</t>
  </si>
  <si>
    <t>I- Waiting Area Extension (5m x 6.22m)</t>
  </si>
  <si>
    <t>Excavation &amp; Base Preparation</t>
  </si>
  <si>
    <t>Gravel Bedding (100mm)</t>
  </si>
  <si>
    <t>Reinforcing Steel Bars (10mm @ 0.20 spacing)</t>
  </si>
  <si>
    <t>Formworks &amp; Accessories</t>
  </si>
  <si>
    <t>Concrete (Class A, 0.10m thick)</t>
  </si>
  <si>
    <t>Labor (Concreting Works)</t>
  </si>
  <si>
    <t>Surface Preparation</t>
  </si>
  <si>
    <t>Accrex Floor Coating</t>
  </si>
  <si>
    <t>Pre-fabricated Steel Trusses (6m span)</t>
  </si>
  <si>
    <t>4” GI Pipe Posts (3.4m height)</t>
  </si>
  <si>
    <t>0.5mm GI Sheets Roofing</t>
  </si>
  <si>
    <t>Hardiflex Ceiling Panels</t>
  </si>
  <si>
    <t>Misc. Pipes &amp; Supports</t>
  </si>
  <si>
    <t>Labor (Installation)</t>
  </si>
  <si>
    <t>LED Pinlights (12W)</t>
  </si>
  <si>
    <t>Wiring, Conduits, Junction Boxes</t>
  </si>
  <si>
    <t>Switches &amp; Controls</t>
  </si>
  <si>
    <t xml:space="preserve">Mobilization </t>
  </si>
  <si>
    <t>Extension of Waiting Area</t>
  </si>
  <si>
    <t>B. Floor Finish</t>
  </si>
  <si>
    <t>C. Roofing Works</t>
  </si>
  <si>
    <t>D. Electrical Works</t>
  </si>
  <si>
    <t>E. Painting Works( Ceiling and Post)</t>
  </si>
  <si>
    <t>Qty</t>
  </si>
  <si>
    <t>Unit Cost</t>
  </si>
  <si>
    <t>Ceiling Surface Preparation</t>
  </si>
  <si>
    <t>Ceiling Painting (Latex, 2 coats)</t>
  </si>
  <si>
    <t>GI Pipe Posts Surface Prep (sanding, primer)</t>
  </si>
  <si>
    <t>GI Pipe Posts Painting (Enamel, 2 coats)</t>
  </si>
  <si>
    <t>Labor</t>
  </si>
  <si>
    <t>Subtotal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</si>
</sst>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b/>
      <sz val="14"/>
      <name val="Century Gothic"/>
      <family val="2"/>
    </font>
    <font>
      <sz val="10"/>
      <name val="Century Gothic"/>
      <family val="2"/>
    </font>
    <font>
      <b/>
      <sz val="16"/>
      <name val="Century Gothic"/>
      <family val="2"/>
    </font>
    <font>
      <b/>
      <sz val="10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12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  <font>
      <b/>
      <sz val="9"/>
      <name val="Century Gothic"/>
      <family val="2"/>
    </font>
    <font>
      <b/>
      <i/>
      <sz val="12"/>
      <name val="Century Gothic"/>
      <family val="2"/>
    </font>
    <font>
      <b/>
      <sz val="48"/>
      <name val="Century Gothic"/>
      <family val="2"/>
    </font>
    <font>
      <sz val="10"/>
      <name val="Times New Roman"/>
      <family val="1"/>
    </font>
    <font>
      <sz val="10"/>
      <color theme="0"/>
      <name val="Century Gothic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14" fillId="0" borderId="0" xfId="0" applyFont="1"/>
    <xf numFmtId="0" fontId="6" fillId="3" borderId="0" xfId="1" applyFont="1" applyFill="1"/>
    <xf numFmtId="0" fontId="10" fillId="0" borderId="1" xfId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3" fontId="8" fillId="0" borderId="0" xfId="2" applyFont="1" applyFill="1" applyBorder="1" applyAlignment="1">
      <alignment horizontal="right"/>
    </xf>
    <xf numFmtId="43" fontId="8" fillId="0" borderId="0" xfId="2" applyFont="1" applyFill="1" applyAlignment="1">
      <alignment horizontal="right"/>
    </xf>
    <xf numFmtId="0" fontId="6" fillId="0" borderId="1" xfId="1" applyFont="1" applyBorder="1"/>
    <xf numFmtId="0" fontId="17" fillId="0" borderId="1" xfId="1" applyFont="1" applyBorder="1"/>
    <xf numFmtId="0" fontId="8" fillId="4" borderId="1" xfId="1" applyFont="1" applyFill="1" applyBorder="1" applyAlignment="1">
      <alignment horizontal="left" vertical="center"/>
    </xf>
    <xf numFmtId="43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43" fontId="8" fillId="2" borderId="1" xfId="2" applyFont="1" applyFill="1" applyBorder="1" applyAlignment="1">
      <alignment horizontal="right"/>
    </xf>
    <xf numFmtId="0" fontId="8" fillId="0" borderId="1" xfId="1" applyFont="1" applyBorder="1"/>
    <xf numFmtId="43" fontId="8" fillId="0" borderId="1" xfId="2" applyFont="1" applyFill="1" applyBorder="1" applyAlignment="1">
      <alignment horizontal="right"/>
    </xf>
    <xf numFmtId="0" fontId="3" fillId="0" borderId="1" xfId="0" applyFont="1" applyBorder="1"/>
    <xf numFmtId="43" fontId="8" fillId="4" borderId="1" xfId="2" applyFont="1" applyFill="1" applyBorder="1" applyAlignment="1">
      <alignment horizontal="right"/>
    </xf>
    <xf numFmtId="0" fontId="6" fillId="4" borderId="1" xfId="1" applyFont="1" applyFill="1" applyBorder="1"/>
    <xf numFmtId="43" fontId="8" fillId="4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/>
    <xf numFmtId="0" fontId="16" fillId="4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right"/>
    </xf>
    <xf numFmtId="0" fontId="6" fillId="2" borderId="1" xfId="1" applyFont="1" applyFill="1" applyBorder="1" applyAlignment="1">
      <alignment horizontal="center" vertical="center"/>
    </xf>
    <xf numFmtId="0" fontId="13" fillId="0" borderId="1" xfId="1" applyFont="1" applyBorder="1"/>
    <xf numFmtId="43" fontId="13" fillId="0" borderId="1" xfId="2" applyFont="1" applyFill="1" applyBorder="1" applyAlignment="1">
      <alignment horizontal="right"/>
    </xf>
    <xf numFmtId="0" fontId="6" fillId="0" borderId="4" xfId="1" applyFont="1" applyBorder="1"/>
    <xf numFmtId="43" fontId="8" fillId="0" borderId="1" xfId="1" applyNumberFormat="1" applyFont="1" applyBorder="1" applyAlignment="1">
      <alignment horizontal="center" vertical="center"/>
    </xf>
    <xf numFmtId="43" fontId="8" fillId="2" borderId="1" xfId="1" applyNumberFormat="1" applyFont="1" applyFill="1" applyBorder="1" applyAlignment="1">
      <alignment horizontal="center" vertical="center"/>
    </xf>
    <xf numFmtId="0" fontId="8" fillId="4" borderId="1" xfId="1" applyFont="1" applyFill="1" applyBorder="1"/>
    <xf numFmtId="0" fontId="12" fillId="0" borderId="1" xfId="1" applyFont="1" applyBorder="1"/>
    <xf numFmtId="43" fontId="6" fillId="0" borderId="1" xfId="7" applyFont="1" applyFill="1" applyBorder="1" applyAlignment="1">
      <alignment horizontal="right" vertical="center"/>
    </xf>
    <xf numFmtId="0" fontId="15" fillId="3" borderId="0" xfId="1" applyFont="1" applyFill="1"/>
    <xf numFmtId="43" fontId="8" fillId="3" borderId="0" xfId="2" applyFont="1" applyFill="1" applyBorder="1" applyAlignment="1">
      <alignment horizontal="right"/>
    </xf>
    <xf numFmtId="0" fontId="8" fillId="0" borderId="4" xfId="1" applyFont="1" applyBorder="1"/>
    <xf numFmtId="43" fontId="6" fillId="0" borderId="4" xfId="2" applyFont="1" applyFill="1" applyBorder="1" applyAlignment="1">
      <alignment horizontal="right"/>
    </xf>
    <xf numFmtId="0" fontId="15" fillId="2" borderId="6" xfId="1" applyFont="1" applyFill="1" applyBorder="1"/>
    <xf numFmtId="0" fontId="6" fillId="2" borderId="7" xfId="1" applyFont="1" applyFill="1" applyBorder="1"/>
    <xf numFmtId="43" fontId="8" fillId="2" borderId="8" xfId="2" applyFont="1" applyFill="1" applyBorder="1" applyAlignment="1">
      <alignment horizontal="right"/>
    </xf>
    <xf numFmtId="0" fontId="2" fillId="0" borderId="0" xfId="0" applyFont="1"/>
    <xf numFmtId="43" fontId="3" fillId="0" borderId="1" xfId="7" applyFont="1" applyBorder="1"/>
    <xf numFmtId="0" fontId="9" fillId="0" borderId="1" xfId="1" applyFont="1" applyBorder="1"/>
    <xf numFmtId="43" fontId="3" fillId="0" borderId="0" xfId="0" applyNumberFormat="1" applyFont="1"/>
    <xf numFmtId="43" fontId="4" fillId="0" borderId="0" xfId="0" applyNumberFormat="1" applyFont="1"/>
    <xf numFmtId="43" fontId="3" fillId="0" borderId="0" xfId="7" applyFont="1"/>
    <xf numFmtId="43" fontId="14" fillId="0" borderId="0" xfId="7" applyFont="1"/>
    <xf numFmtId="43" fontId="4" fillId="0" borderId="0" xfId="7" applyFont="1"/>
    <xf numFmtId="43" fontId="6" fillId="0" borderId="0" xfId="7" applyFont="1"/>
    <xf numFmtId="3" fontId="4" fillId="0" borderId="0" xfId="0" applyNumberFormat="1" applyFont="1"/>
    <xf numFmtId="3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0" fillId="0" borderId="1" xfId="0" applyBorder="1"/>
    <xf numFmtId="43" fontId="6" fillId="0" borderId="1" xfId="7" applyFont="1" applyBorder="1" applyAlignment="1">
      <alignment horizontal="center" vertical="center"/>
    </xf>
    <xf numFmtId="43" fontId="6" fillId="0" borderId="0" xfId="7" applyFont="1" applyAlignment="1">
      <alignment horizontal="center" vertical="center"/>
    </xf>
    <xf numFmtId="43" fontId="6" fillId="0" borderId="1" xfId="7" applyFont="1" applyBorder="1"/>
    <xf numFmtId="43" fontId="13" fillId="0" borderId="1" xfId="7" applyFont="1" applyBorder="1"/>
    <xf numFmtId="43" fontId="6" fillId="0" borderId="1" xfId="7" applyFont="1" applyBorder="1" applyAlignment="1">
      <alignment horizontal="right"/>
    </xf>
    <xf numFmtId="43" fontId="6" fillId="4" borderId="1" xfId="7" applyFont="1" applyFill="1" applyBorder="1"/>
    <xf numFmtId="43" fontId="6" fillId="2" borderId="7" xfId="7" applyFont="1" applyFill="1" applyBorder="1"/>
    <xf numFmtId="43" fontId="6" fillId="3" borderId="0" xfId="7" applyFont="1" applyFill="1"/>
    <xf numFmtId="43" fontId="10" fillId="0" borderId="1" xfId="7" applyFont="1" applyBorder="1" applyAlignment="1">
      <alignment horizontal="center" vertical="center"/>
    </xf>
    <xf numFmtId="43" fontId="6" fillId="4" borderId="1" xfId="7" applyFont="1" applyFill="1" applyBorder="1" applyAlignment="1">
      <alignment horizontal="right" vertical="center"/>
    </xf>
    <xf numFmtId="43" fontId="6" fillId="2" borderId="1" xfId="7" applyFont="1" applyFill="1" applyBorder="1" applyAlignment="1">
      <alignment horizontal="right" vertical="center"/>
    </xf>
    <xf numFmtId="43" fontId="8" fillId="2" borderId="1" xfId="7" applyFont="1" applyFill="1" applyBorder="1" applyAlignment="1">
      <alignment horizontal="center"/>
    </xf>
    <xf numFmtId="9" fontId="20" fillId="0" borderId="1" xfId="7" applyNumberFormat="1" applyFont="1" applyBorder="1" applyAlignment="1">
      <alignment horizontal="right"/>
    </xf>
    <xf numFmtId="43" fontId="20" fillId="0" borderId="4" xfId="7" applyFont="1" applyBorder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1" fillId="0" borderId="0" xfId="0" applyFont="1" applyAlignment="1">
      <alignment vertical="center" wrapText="1"/>
    </xf>
    <xf numFmtId="3" fontId="21" fillId="0" borderId="0" xfId="0" applyNumberFormat="1" applyFont="1" applyAlignment="1">
      <alignment vertical="center" wrapText="1"/>
    </xf>
    <xf numFmtId="0" fontId="8" fillId="5" borderId="11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left"/>
    </xf>
    <xf numFmtId="0" fontId="6" fillId="0" borderId="14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 vertical="top" wrapText="1"/>
    </xf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1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6" fillId="0" borderId="18" xfId="1" applyFont="1" applyBorder="1"/>
    <xf numFmtId="0" fontId="6" fillId="0" borderId="0" xfId="1" applyFont="1" applyBorder="1"/>
    <xf numFmtId="43" fontId="6" fillId="0" borderId="0" xfId="7" applyFont="1" applyBorder="1"/>
    <xf numFmtId="0" fontId="6" fillId="0" borderId="19" xfId="1" applyFont="1" applyBorder="1"/>
    <xf numFmtId="0" fontId="8" fillId="0" borderId="18" xfId="1" applyFont="1" applyBorder="1"/>
    <xf numFmtId="0" fontId="8" fillId="0" borderId="0" xfId="1" applyFont="1" applyBorder="1"/>
    <xf numFmtId="0" fontId="9" fillId="0" borderId="0" xfId="1" applyFont="1" applyBorder="1"/>
    <xf numFmtId="0" fontId="10" fillId="0" borderId="0" xfId="1" applyFont="1" applyBorder="1"/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8" fillId="0" borderId="20" xfId="1" applyFont="1" applyBorder="1"/>
    <xf numFmtId="0" fontId="6" fillId="0" borderId="21" xfId="1" applyFont="1" applyBorder="1"/>
    <xf numFmtId="0" fontId="12" fillId="0" borderId="20" xfId="1" applyFont="1" applyBorder="1"/>
    <xf numFmtId="43" fontId="13" fillId="0" borderId="21" xfId="2" applyFont="1" applyFill="1" applyBorder="1" applyAlignment="1">
      <alignment horizontal="right"/>
    </xf>
    <xf numFmtId="43" fontId="8" fillId="0" borderId="21" xfId="2" applyFont="1" applyFill="1" applyBorder="1" applyAlignment="1">
      <alignment horizontal="right"/>
    </xf>
    <xf numFmtId="43" fontId="6" fillId="0" borderId="21" xfId="2" applyFont="1" applyFill="1" applyBorder="1" applyAlignment="1">
      <alignment horizontal="right"/>
    </xf>
    <xf numFmtId="0" fontId="8" fillId="4" borderId="20" xfId="1" applyFont="1" applyFill="1" applyBorder="1"/>
    <xf numFmtId="43" fontId="8" fillId="4" borderId="21" xfId="2" applyFont="1" applyFill="1" applyBorder="1" applyAlignment="1">
      <alignment horizontal="right"/>
    </xf>
    <xf numFmtId="0" fontId="3" fillId="0" borderId="18" xfId="0" applyFont="1" applyBorder="1"/>
    <xf numFmtId="0" fontId="3" fillId="0" borderId="0" xfId="0" applyFont="1" applyBorder="1"/>
    <xf numFmtId="43" fontId="3" fillId="0" borderId="0" xfId="7" applyFont="1" applyBorder="1"/>
    <xf numFmtId="0" fontId="3" fillId="0" borderId="19" xfId="0" applyFont="1" applyBorder="1"/>
    <xf numFmtId="0" fontId="8" fillId="0" borderId="22" xfId="1" applyFont="1" applyBorder="1"/>
    <xf numFmtId="43" fontId="6" fillId="0" borderId="23" xfId="2" applyFont="1" applyFill="1" applyBorder="1" applyAlignment="1">
      <alignment horizontal="right"/>
    </xf>
    <xf numFmtId="0" fontId="6" fillId="3" borderId="19" xfId="1" applyFont="1" applyFill="1" applyBorder="1"/>
    <xf numFmtId="0" fontId="11" fillId="0" borderId="18" xfId="1" applyFont="1" applyBorder="1" applyAlignment="1">
      <alignment horizontal="center"/>
    </xf>
    <xf numFmtId="0" fontId="11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17" fillId="0" borderId="20" xfId="1" applyFont="1" applyBorder="1"/>
    <xf numFmtId="0" fontId="10" fillId="0" borderId="20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8" fillId="4" borderId="20" xfId="1" applyFont="1" applyFill="1" applyBorder="1" applyAlignment="1">
      <alignment horizontal="left" vertical="center"/>
    </xf>
    <xf numFmtId="43" fontId="6" fillId="0" borderId="21" xfId="1" applyNumberFormat="1" applyFont="1" applyBorder="1" applyAlignment="1">
      <alignment horizontal="center" vertical="center"/>
    </xf>
    <xf numFmtId="0" fontId="6" fillId="0" borderId="20" xfId="1" applyFont="1" applyBorder="1" applyAlignment="1">
      <alignment horizontal="left" vertical="center"/>
    </xf>
    <xf numFmtId="43" fontId="8" fillId="4" borderId="21" xfId="1" applyNumberFormat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5" borderId="24" xfId="1" applyFont="1" applyFill="1" applyBorder="1" applyAlignment="1">
      <alignment horizontal="center" vertical="center"/>
    </xf>
    <xf numFmtId="0" fontId="8" fillId="5" borderId="25" xfId="1" applyFont="1" applyFill="1" applyBorder="1" applyAlignment="1">
      <alignment horizontal="center" vertical="center"/>
    </xf>
    <xf numFmtId="0" fontId="8" fillId="5" borderId="26" xfId="1" applyFont="1" applyFill="1" applyBorder="1" applyAlignment="1">
      <alignment horizontal="center" vertical="center"/>
    </xf>
    <xf numFmtId="0" fontId="8" fillId="5" borderId="27" xfId="1" applyFont="1" applyFill="1" applyBorder="1" applyAlignment="1">
      <alignment horizontal="center" vertical="center"/>
    </xf>
    <xf numFmtId="0" fontId="6" fillId="0" borderId="28" xfId="1" applyFont="1" applyBorder="1" applyAlignment="1">
      <alignment horizontal="left"/>
    </xf>
    <xf numFmtId="0" fontId="6" fillId="0" borderId="29" xfId="1" applyFont="1" applyBorder="1" applyAlignment="1">
      <alignment horizontal="left"/>
    </xf>
    <xf numFmtId="0" fontId="6" fillId="0" borderId="30" xfId="1" applyFont="1" applyBorder="1" applyAlignment="1">
      <alignment horizontal="left" vertical="top" wrapText="1"/>
    </xf>
    <xf numFmtId="0" fontId="6" fillId="0" borderId="31" xfId="1" applyFont="1" applyBorder="1" applyAlignment="1">
      <alignment horizontal="left" vertical="top" wrapText="1"/>
    </xf>
    <xf numFmtId="0" fontId="6" fillId="0" borderId="32" xfId="1" applyFont="1" applyBorder="1" applyAlignment="1">
      <alignment horizontal="left" vertical="top" wrapText="1"/>
    </xf>
  </cellXfs>
  <cellStyles count="8">
    <cellStyle name="Comma" xfId="7" builtinId="3"/>
    <cellStyle name="Comma 2" xfId="3" xr:uid="{00000000-0005-0000-0000-000001000000}"/>
    <cellStyle name="Comma 2 2" xfId="6" xr:uid="{00000000-0005-0000-0000-000002000000}"/>
    <cellStyle name="Comma 3" xfId="2" xr:uid="{00000000-0005-0000-0000-000003000000}"/>
    <cellStyle name="Comma 3 2" xfId="5" xr:uid="{00000000-0005-0000-0000-000004000000}"/>
    <cellStyle name="Comma 4" xfId="4" xr:uid="{00000000-0005-0000-0000-000005000000}"/>
    <cellStyle name="Normal" xfId="0" builtinId="0"/>
    <cellStyle name="Normal 2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5326-441C-487C-A161-4DCF28917C58}">
  <dimension ref="A3:M463"/>
  <sheetViews>
    <sheetView view="pageBreakPreview" zoomScale="70" zoomScaleNormal="100" zoomScaleSheetLayoutView="70" workbookViewId="0">
      <selection sqref="A1:XFD1048576"/>
    </sheetView>
  </sheetViews>
  <sheetFormatPr defaultColWidth="9.140625" defaultRowHeight="16.5" x14ac:dyDescent="0.3"/>
  <cols>
    <col min="1" max="1" width="53.140625" style="2" customWidth="1"/>
    <col min="2" max="2" width="13.28515625" style="2" bestFit="1" customWidth="1"/>
    <col min="3" max="3" width="9.28515625" style="2" bestFit="1" customWidth="1"/>
    <col min="4" max="4" width="13.42578125" style="52" bestFit="1" customWidth="1"/>
    <col min="5" max="5" width="5.42578125" style="2" customWidth="1"/>
    <col min="6" max="6" width="20.5703125" style="2" customWidth="1"/>
    <col min="7" max="7" width="9.140625" style="2"/>
    <col min="8" max="8" width="19.140625" style="2" bestFit="1" customWidth="1"/>
    <col min="9" max="9" width="14.7109375" style="2" bestFit="1" customWidth="1"/>
    <col min="10" max="10" width="15.42578125" style="52" bestFit="1" customWidth="1"/>
    <col min="11" max="12" width="14.5703125" style="2" bestFit="1" customWidth="1"/>
    <col min="13" max="16124" width="9.140625" style="2"/>
    <col min="16125" max="16125" width="10.7109375" style="2" bestFit="1" customWidth="1"/>
    <col min="16126" max="16377" width="9.140625" style="2"/>
    <col min="16378" max="16378" width="9.28515625" style="2" bestFit="1" customWidth="1"/>
    <col min="16379" max="16384" width="9.28515625" style="2" customWidth="1"/>
  </cols>
  <sheetData>
    <row r="3" spans="1:10" ht="18" x14ac:dyDescent="0.3">
      <c r="A3" s="102"/>
      <c r="B3" s="102"/>
      <c r="C3" s="102"/>
      <c r="D3" s="102"/>
      <c r="E3" s="102"/>
      <c r="F3" s="102"/>
    </row>
    <row r="4" spans="1:10" x14ac:dyDescent="0.3">
      <c r="A4" s="103"/>
      <c r="B4" s="103"/>
      <c r="C4" s="103"/>
      <c r="D4" s="103"/>
      <c r="E4" s="103"/>
      <c r="F4" s="103"/>
    </row>
    <row r="5" spans="1:10" x14ac:dyDescent="0.3">
      <c r="A5" s="103"/>
      <c r="B5" s="103"/>
      <c r="C5" s="103"/>
      <c r="D5" s="103"/>
      <c r="E5" s="103"/>
      <c r="F5" s="103"/>
    </row>
    <row r="6" spans="1:10" x14ac:dyDescent="0.3">
      <c r="A6" s="3"/>
      <c r="B6" s="3"/>
      <c r="C6" s="3"/>
      <c r="D6" s="61"/>
      <c r="E6" s="3"/>
      <c r="F6" s="3"/>
    </row>
    <row r="7" spans="1:10" ht="20.25" x14ac:dyDescent="0.3">
      <c r="A7" s="104" t="s">
        <v>46</v>
      </c>
      <c r="B7" s="104"/>
      <c r="C7" s="104"/>
      <c r="D7" s="104"/>
      <c r="E7" s="104"/>
      <c r="F7" s="104"/>
    </row>
    <row r="8" spans="1:10" x14ac:dyDescent="0.3">
      <c r="A8" s="4"/>
      <c r="B8" s="4"/>
      <c r="C8" s="4"/>
      <c r="D8" s="55"/>
      <c r="E8" s="4"/>
      <c r="F8" s="4"/>
    </row>
    <row r="9" spans="1:10" x14ac:dyDescent="0.3">
      <c r="A9" s="5" t="s">
        <v>0</v>
      </c>
      <c r="B9" s="5" t="s">
        <v>313</v>
      </c>
      <c r="C9" s="6"/>
      <c r="D9" s="55"/>
      <c r="E9" s="4"/>
      <c r="F9" s="4"/>
    </row>
    <row r="10" spans="1:10" x14ac:dyDescent="0.3">
      <c r="A10" s="5" t="s">
        <v>1</v>
      </c>
      <c r="B10" s="5" t="s">
        <v>312</v>
      </c>
      <c r="C10" s="7"/>
      <c r="D10" s="55"/>
      <c r="E10" s="4"/>
      <c r="F10" s="4"/>
    </row>
    <row r="11" spans="1:10" x14ac:dyDescent="0.3">
      <c r="A11" s="5" t="s">
        <v>2</v>
      </c>
      <c r="B11" s="5" t="s">
        <v>3</v>
      </c>
      <c r="C11" s="5"/>
      <c r="D11" s="55"/>
      <c r="E11" s="4"/>
      <c r="F11" s="4"/>
    </row>
    <row r="12" spans="1:10" x14ac:dyDescent="0.3">
      <c r="A12" s="5" t="s">
        <v>4</v>
      </c>
      <c r="B12" s="5" t="s">
        <v>317</v>
      </c>
      <c r="C12" s="5"/>
      <c r="D12" s="55"/>
      <c r="E12" s="4"/>
      <c r="F12" s="4"/>
    </row>
    <row r="13" spans="1:10" x14ac:dyDescent="0.3">
      <c r="A13" s="5"/>
      <c r="B13" s="5" t="s">
        <v>5</v>
      </c>
      <c r="C13" s="5"/>
      <c r="D13" s="55"/>
      <c r="E13" s="4"/>
      <c r="F13" s="4"/>
    </row>
    <row r="14" spans="1:10" x14ac:dyDescent="0.3">
      <c r="A14" s="105" t="s">
        <v>6</v>
      </c>
      <c r="B14" s="105"/>
      <c r="C14" s="105"/>
      <c r="D14" s="105"/>
      <c r="E14" s="105"/>
      <c r="F14" s="105"/>
    </row>
    <row r="15" spans="1:10" x14ac:dyDescent="0.3">
      <c r="A15" s="21"/>
      <c r="B15" s="21"/>
      <c r="C15" s="21"/>
      <c r="D15" s="62"/>
      <c r="E15" s="15"/>
      <c r="F15" s="15"/>
    </row>
    <row r="16" spans="1:10" s="8" customFormat="1" x14ac:dyDescent="0.3">
      <c r="A16" s="38" t="str">
        <f>A64</f>
        <v>I- General Requirements</v>
      </c>
      <c r="B16" s="32"/>
      <c r="C16" s="32"/>
      <c r="D16" s="63"/>
      <c r="E16" s="32" t="s">
        <v>7</v>
      </c>
      <c r="F16" s="33">
        <f>F88</f>
        <v>335200</v>
      </c>
      <c r="J16" s="53"/>
    </row>
    <row r="17" spans="1:12" s="8" customFormat="1" x14ac:dyDescent="0.3">
      <c r="A17" s="38" t="str">
        <f>A89</f>
        <v>II- Structural Works</v>
      </c>
      <c r="B17" s="32"/>
      <c r="C17" s="32"/>
      <c r="D17" s="63"/>
      <c r="E17" s="32" t="s">
        <v>7</v>
      </c>
      <c r="F17" s="33">
        <f>F227</f>
        <v>1676676.8</v>
      </c>
      <c r="J17" s="53"/>
    </row>
    <row r="18" spans="1:12" s="8" customFormat="1" x14ac:dyDescent="0.3">
      <c r="A18" s="38" t="str">
        <f>A228</f>
        <v>III- Plumbing Works</v>
      </c>
      <c r="B18" s="32"/>
      <c r="C18" s="32"/>
      <c r="D18" s="63"/>
      <c r="E18" s="32" t="s">
        <v>7</v>
      </c>
      <c r="F18" s="33">
        <f>F283</f>
        <v>148455</v>
      </c>
      <c r="J18" s="53"/>
    </row>
    <row r="19" spans="1:12" x14ac:dyDescent="0.3">
      <c r="A19" s="21" t="str">
        <f>A284</f>
        <v>IV- Electrical Works</v>
      </c>
      <c r="B19" s="15"/>
      <c r="C19" s="15"/>
      <c r="D19" s="62"/>
      <c r="E19" s="15" t="s">
        <v>7</v>
      </c>
      <c r="F19" s="30">
        <f>F323</f>
        <v>144585</v>
      </c>
    </row>
    <row r="20" spans="1:12" x14ac:dyDescent="0.3">
      <c r="A20" s="21" t="str">
        <f>A324</f>
        <v>V-Architectural Works</v>
      </c>
      <c r="B20" s="23"/>
      <c r="C20" s="15"/>
      <c r="D20" s="62"/>
      <c r="E20" s="15" t="s">
        <v>7</v>
      </c>
      <c r="F20" s="30">
        <f>F364</f>
        <v>731943</v>
      </c>
    </row>
    <row r="21" spans="1:12" x14ac:dyDescent="0.3">
      <c r="A21" s="21" t="str">
        <f>A365</f>
        <v>VI- Carpentry Works</v>
      </c>
      <c r="B21" s="15"/>
      <c r="C21" s="15"/>
      <c r="D21" s="62"/>
      <c r="E21" s="15" t="s">
        <v>7</v>
      </c>
      <c r="F21" s="30">
        <f>F397</f>
        <v>318150</v>
      </c>
    </row>
    <row r="22" spans="1:12" x14ac:dyDescent="0.3">
      <c r="A22" s="21" t="str">
        <f>A398</f>
        <v>VII- Miscellaneous</v>
      </c>
      <c r="B22" s="23"/>
      <c r="C22" s="15"/>
      <c r="D22" s="62"/>
      <c r="E22" s="15" t="s">
        <v>7</v>
      </c>
      <c r="F22" s="30">
        <f>F419</f>
        <v>131300</v>
      </c>
    </row>
    <row r="23" spans="1:12" x14ac:dyDescent="0.3">
      <c r="A23" s="21"/>
      <c r="B23" s="15"/>
      <c r="C23" s="15"/>
      <c r="D23" s="62"/>
      <c r="E23" s="15"/>
      <c r="F23" s="22"/>
    </row>
    <row r="24" spans="1:12" x14ac:dyDescent="0.3">
      <c r="A24" s="21" t="s">
        <v>8</v>
      </c>
      <c r="B24" s="15"/>
      <c r="C24" s="15"/>
      <c r="D24" s="62"/>
      <c r="E24" s="15"/>
      <c r="F24" s="22"/>
    </row>
    <row r="25" spans="1:12" x14ac:dyDescent="0.3">
      <c r="A25" s="21" t="s">
        <v>310</v>
      </c>
      <c r="B25" s="15"/>
      <c r="C25" s="15"/>
      <c r="D25" s="62"/>
      <c r="E25" s="15" t="s">
        <v>7</v>
      </c>
      <c r="F25" s="30">
        <f>SUM(F16:F22)</f>
        <v>3486309.8</v>
      </c>
    </row>
    <row r="26" spans="1:12" x14ac:dyDescent="0.3">
      <c r="A26" s="21" t="s">
        <v>311</v>
      </c>
      <c r="B26" s="15"/>
      <c r="C26" s="15"/>
      <c r="D26" s="64"/>
      <c r="E26" s="15" t="s">
        <v>7</v>
      </c>
      <c r="F26" s="30">
        <f>F25*45%</f>
        <v>1568839.41</v>
      </c>
    </row>
    <row r="27" spans="1:12" x14ac:dyDescent="0.3">
      <c r="A27" s="37" t="s">
        <v>9</v>
      </c>
      <c r="B27" s="25"/>
      <c r="C27" s="25"/>
      <c r="D27" s="65"/>
      <c r="E27" s="25" t="s">
        <v>7</v>
      </c>
      <c r="F27" s="24">
        <f>SUM(F25:F26)</f>
        <v>5055149.21</v>
      </c>
      <c r="I27" s="50"/>
    </row>
    <row r="28" spans="1:12" x14ac:dyDescent="0.3">
      <c r="A28" s="21" t="s">
        <v>10</v>
      </c>
      <c r="B28" s="15"/>
      <c r="C28" s="15"/>
      <c r="D28" s="62"/>
      <c r="E28" s="15"/>
      <c r="F28" s="22"/>
      <c r="J28" s="2"/>
    </row>
    <row r="29" spans="1:12" x14ac:dyDescent="0.3">
      <c r="A29" s="21" t="s">
        <v>47</v>
      </c>
      <c r="B29" s="15"/>
      <c r="C29" s="15"/>
      <c r="D29" s="72">
        <v>0.1</v>
      </c>
      <c r="E29" s="15" t="s">
        <v>7</v>
      </c>
      <c r="F29" s="30">
        <f>F27*D29</f>
        <v>505514.92100000003</v>
      </c>
    </row>
    <row r="30" spans="1:12" x14ac:dyDescent="0.3">
      <c r="A30" s="21" t="s">
        <v>48</v>
      </c>
      <c r="B30" s="15"/>
      <c r="C30" s="15"/>
      <c r="D30" s="72">
        <v>0.05</v>
      </c>
      <c r="E30" s="15" t="s">
        <v>7</v>
      </c>
      <c r="F30" s="30">
        <f>F27*D30-D34+200000</f>
        <v>439335.87050000002</v>
      </c>
      <c r="L30" s="50"/>
    </row>
    <row r="31" spans="1:12" x14ac:dyDescent="0.3">
      <c r="A31" s="37" t="s">
        <v>11</v>
      </c>
      <c r="B31" s="25"/>
      <c r="C31" s="25"/>
      <c r="D31" s="65"/>
      <c r="E31" s="25" t="s">
        <v>7</v>
      </c>
      <c r="F31" s="24">
        <f>SUM(F29:F30)</f>
        <v>944850.79150000005</v>
      </c>
      <c r="L31" s="50"/>
    </row>
    <row r="32" spans="1:12" x14ac:dyDescent="0.3">
      <c r="K32" s="50"/>
    </row>
    <row r="33" spans="1:12" x14ac:dyDescent="0.3">
      <c r="A33" s="21"/>
      <c r="B33" s="15"/>
      <c r="C33" s="15"/>
      <c r="D33" s="62"/>
      <c r="E33" s="15"/>
      <c r="F33" s="22"/>
      <c r="H33" s="50"/>
    </row>
    <row r="34" spans="1:12" ht="17.25" thickBot="1" x14ac:dyDescent="0.35">
      <c r="A34" s="42"/>
      <c r="B34" s="34"/>
      <c r="C34" s="34"/>
      <c r="D34" s="73">
        <v>13421.59</v>
      </c>
      <c r="E34" s="34"/>
      <c r="F34" s="43"/>
      <c r="K34" s="50"/>
      <c r="L34" s="50"/>
    </row>
    <row r="35" spans="1:12" ht="17.25" thickBot="1" x14ac:dyDescent="0.35">
      <c r="A35" s="44" t="s">
        <v>12</v>
      </c>
      <c r="B35" s="45"/>
      <c r="C35" s="45"/>
      <c r="D35" s="66"/>
      <c r="E35" s="45" t="s">
        <v>7</v>
      </c>
      <c r="F35" s="46">
        <f>F31+F27</f>
        <v>6000000.0015000002</v>
      </c>
      <c r="K35" s="50"/>
      <c r="L35" s="50"/>
    </row>
    <row r="36" spans="1:12" x14ac:dyDescent="0.3">
      <c r="A36" s="40"/>
      <c r="B36" s="9"/>
      <c r="C36" s="9"/>
      <c r="D36" s="67"/>
      <c r="E36" s="9"/>
      <c r="F36" s="41"/>
      <c r="I36" s="50"/>
      <c r="K36" s="50"/>
    </row>
    <row r="37" spans="1:12" x14ac:dyDescent="0.3">
      <c r="B37" s="5"/>
      <c r="C37" s="5"/>
      <c r="D37" s="55"/>
      <c r="E37" s="4"/>
      <c r="F37" s="4"/>
    </row>
    <row r="38" spans="1:12" x14ac:dyDescent="0.3">
      <c r="A38" s="5" t="s">
        <v>13</v>
      </c>
      <c r="B38" s="5"/>
      <c r="C38" s="5"/>
      <c r="D38" s="55"/>
      <c r="E38" s="4"/>
      <c r="F38" s="4"/>
      <c r="H38" s="50"/>
    </row>
    <row r="39" spans="1:12" ht="9" customHeight="1" x14ac:dyDescent="0.3">
      <c r="A39" s="5"/>
      <c r="B39" s="5"/>
      <c r="C39" s="5"/>
      <c r="D39" s="55"/>
      <c r="E39" s="4"/>
      <c r="F39" s="4"/>
      <c r="L39" s="50"/>
    </row>
    <row r="40" spans="1:12" hidden="1" x14ac:dyDescent="0.3">
      <c r="A40" s="5"/>
      <c r="B40" s="5"/>
      <c r="C40" s="5"/>
      <c r="D40" s="55"/>
      <c r="E40" s="4"/>
      <c r="F40" s="4"/>
    </row>
    <row r="41" spans="1:12" hidden="1" x14ac:dyDescent="0.3">
      <c r="A41" s="5"/>
      <c r="B41" s="5"/>
      <c r="C41" s="5"/>
      <c r="D41" s="55"/>
      <c r="E41" s="4"/>
      <c r="F41" s="4"/>
      <c r="H41" s="50"/>
    </row>
    <row r="42" spans="1:12" hidden="1" x14ac:dyDescent="0.3">
      <c r="A42" s="5"/>
      <c r="B42" s="5"/>
      <c r="C42" s="5"/>
      <c r="D42" s="55"/>
      <c r="E42" s="4"/>
      <c r="F42" s="4"/>
    </row>
    <row r="43" spans="1:12" hidden="1" x14ac:dyDescent="0.3">
      <c r="A43" s="5"/>
      <c r="B43" s="5"/>
      <c r="C43" s="5"/>
      <c r="D43" s="55"/>
      <c r="E43" s="4"/>
      <c r="F43" s="4"/>
    </row>
    <row r="44" spans="1:12" s="1" customFormat="1" x14ac:dyDescent="0.3">
      <c r="A44" s="5"/>
      <c r="B44" s="5"/>
      <c r="C44" s="5"/>
      <c r="D44" s="55"/>
      <c r="E44" s="4"/>
      <c r="F44" s="9" t="s">
        <v>14</v>
      </c>
      <c r="G44" s="2"/>
      <c r="I44" s="51"/>
      <c r="J44" s="54"/>
    </row>
    <row r="45" spans="1:12" s="1" customFormat="1" ht="18.75" x14ac:dyDescent="0.3">
      <c r="A45" s="106" t="s">
        <v>309</v>
      </c>
      <c r="B45" s="106"/>
      <c r="C45" s="5"/>
      <c r="D45" s="107" t="s">
        <v>315</v>
      </c>
      <c r="E45" s="107"/>
      <c r="F45" s="107"/>
      <c r="G45" s="2"/>
      <c r="J45" s="54"/>
    </row>
    <row r="46" spans="1:12" s="1" customFormat="1" x14ac:dyDescent="0.3">
      <c r="A46" s="100" t="s">
        <v>308</v>
      </c>
      <c r="B46" s="100"/>
      <c r="C46" s="5"/>
      <c r="D46" s="100" t="s">
        <v>316</v>
      </c>
      <c r="E46" s="100"/>
      <c r="F46" s="100"/>
      <c r="G46" s="2"/>
      <c r="J46" s="54"/>
    </row>
    <row r="47" spans="1:12" s="1" customFormat="1" x14ac:dyDescent="0.3">
      <c r="A47" s="100"/>
      <c r="B47" s="100"/>
      <c r="C47" s="5"/>
      <c r="D47" s="100"/>
      <c r="E47" s="100"/>
      <c r="F47" s="100"/>
      <c r="G47" s="2"/>
      <c r="J47" s="54"/>
    </row>
    <row r="48" spans="1:12" s="1" customFormat="1" x14ac:dyDescent="0.3">
      <c r="A48" s="5"/>
      <c r="B48" s="5"/>
      <c r="C48" s="5"/>
      <c r="D48" s="55"/>
      <c r="E48" s="4"/>
      <c r="F48" s="4"/>
      <c r="G48" s="2"/>
      <c r="J48" s="54"/>
    </row>
    <row r="49" spans="1:10" s="1" customFormat="1" ht="13.5" customHeight="1" x14ac:dyDescent="0.3">
      <c r="A49" s="4"/>
      <c r="B49" s="4"/>
      <c r="C49" s="4"/>
      <c r="D49" s="55"/>
      <c r="E49" s="4"/>
      <c r="F49" s="4"/>
      <c r="G49" s="2"/>
      <c r="J49" s="54"/>
    </row>
    <row r="50" spans="1:10" s="1" customFormat="1" hidden="1" x14ac:dyDescent="0.3">
      <c r="A50" s="4"/>
      <c r="B50" s="4"/>
      <c r="C50" s="4"/>
      <c r="D50" s="55"/>
      <c r="E50" s="4"/>
      <c r="F50" s="4"/>
      <c r="G50" s="2"/>
      <c r="J50" s="54"/>
    </row>
    <row r="51" spans="1:10" s="1" customFormat="1" hidden="1" x14ac:dyDescent="0.3">
      <c r="A51" s="4"/>
      <c r="B51" s="4"/>
      <c r="C51" s="4"/>
      <c r="D51" s="55"/>
      <c r="E51" s="4"/>
      <c r="F51" s="4"/>
      <c r="G51" s="2"/>
      <c r="J51" s="54"/>
    </row>
    <row r="52" spans="1:10" s="1" customFormat="1" hidden="1" x14ac:dyDescent="0.3">
      <c r="A52" s="4"/>
      <c r="B52" s="4"/>
      <c r="C52" s="4"/>
      <c r="D52" s="55"/>
      <c r="E52" s="4"/>
      <c r="F52" s="4"/>
      <c r="G52" s="2"/>
      <c r="J52" s="54"/>
    </row>
    <row r="53" spans="1:10" s="1" customFormat="1" hidden="1" x14ac:dyDescent="0.3">
      <c r="A53" s="4"/>
      <c r="B53" s="4"/>
      <c r="C53" s="4"/>
      <c r="D53" s="55"/>
      <c r="E53" s="4"/>
      <c r="F53" s="4"/>
      <c r="G53" s="2"/>
      <c r="J53" s="54"/>
    </row>
    <row r="54" spans="1:10" s="1" customFormat="1" hidden="1" x14ac:dyDescent="0.3">
      <c r="A54" s="4"/>
      <c r="B54" s="4"/>
      <c r="C54" s="4"/>
      <c r="D54" s="55"/>
      <c r="E54" s="4"/>
      <c r="F54" s="4"/>
      <c r="G54" s="2"/>
      <c r="J54" s="54"/>
    </row>
    <row r="55" spans="1:10" s="1" customFormat="1" hidden="1" x14ac:dyDescent="0.3">
      <c r="A55" s="4"/>
      <c r="B55" s="4"/>
      <c r="C55" s="4"/>
      <c r="D55" s="55"/>
      <c r="E55" s="4"/>
      <c r="F55" s="4"/>
      <c r="G55" s="2"/>
      <c r="J55" s="54"/>
    </row>
    <row r="56" spans="1:10" s="1" customFormat="1" hidden="1" x14ac:dyDescent="0.3">
      <c r="A56" s="4"/>
      <c r="B56" s="4"/>
      <c r="C56" s="4"/>
      <c r="D56" s="55"/>
      <c r="E56" s="4"/>
      <c r="F56" s="4"/>
      <c r="G56" s="2"/>
      <c r="J56" s="54"/>
    </row>
    <row r="57" spans="1:10" s="1" customFormat="1" hidden="1" x14ac:dyDescent="0.3">
      <c r="A57" s="4"/>
      <c r="B57" s="4"/>
      <c r="C57" s="4"/>
      <c r="D57" s="55"/>
      <c r="E57" s="4"/>
      <c r="F57" s="4"/>
      <c r="G57" s="2"/>
      <c r="J57" s="54"/>
    </row>
    <row r="58" spans="1:10" s="1" customFormat="1" hidden="1" x14ac:dyDescent="0.3">
      <c r="A58" s="4"/>
      <c r="B58" s="4"/>
      <c r="C58" s="4"/>
      <c r="D58" s="55"/>
      <c r="E58" s="4"/>
      <c r="F58" s="4"/>
      <c r="G58" s="2"/>
      <c r="J58" s="54"/>
    </row>
    <row r="59" spans="1:10" s="1" customFormat="1" hidden="1" x14ac:dyDescent="0.3">
      <c r="A59" s="4"/>
      <c r="B59" s="4"/>
      <c r="C59" s="4"/>
      <c r="D59" s="55"/>
      <c r="E59" s="4"/>
      <c r="F59" s="4"/>
      <c r="G59" s="2"/>
      <c r="J59" s="54"/>
    </row>
    <row r="60" spans="1:10" s="1" customFormat="1" hidden="1" x14ac:dyDescent="0.3">
      <c r="A60" s="4"/>
      <c r="B60" s="4"/>
      <c r="C60" s="4"/>
      <c r="D60" s="55"/>
      <c r="E60" s="4"/>
      <c r="F60" s="4"/>
      <c r="G60" s="2"/>
      <c r="J60" s="54"/>
    </row>
    <row r="61" spans="1:10" s="1" customFormat="1" hidden="1" x14ac:dyDescent="0.3">
      <c r="A61" s="4"/>
      <c r="B61" s="4"/>
      <c r="C61" s="4"/>
      <c r="D61" s="55"/>
      <c r="E61" s="4"/>
      <c r="F61" s="4"/>
      <c r="G61" s="2"/>
      <c r="J61" s="54"/>
    </row>
    <row r="62" spans="1:10" s="1" customFormat="1" hidden="1" x14ac:dyDescent="0.3">
      <c r="A62" s="4"/>
      <c r="B62" s="4"/>
      <c r="C62" s="4"/>
      <c r="D62" s="55"/>
      <c r="E62" s="4"/>
      <c r="F62" s="4"/>
      <c r="G62" s="2"/>
      <c r="J62" s="54"/>
    </row>
    <row r="63" spans="1:10" s="1" customFormat="1" hidden="1" x14ac:dyDescent="0.3">
      <c r="A63" s="4"/>
      <c r="B63" s="4"/>
      <c r="C63" s="4"/>
      <c r="D63" s="55"/>
      <c r="E63" s="4"/>
      <c r="F63" s="4"/>
      <c r="G63" s="2"/>
      <c r="J63" s="54"/>
    </row>
    <row r="64" spans="1:10" s="1" customFormat="1" ht="17.25" x14ac:dyDescent="0.3">
      <c r="A64" s="16" t="s">
        <v>307</v>
      </c>
      <c r="B64" s="15"/>
      <c r="C64" s="15"/>
      <c r="D64" s="62"/>
      <c r="E64" s="15"/>
      <c r="F64" s="15"/>
      <c r="G64" s="2"/>
      <c r="J64" s="54"/>
    </row>
    <row r="65" spans="1:10" s="1" customFormat="1" x14ac:dyDescent="0.3">
      <c r="A65" s="10" t="s">
        <v>15</v>
      </c>
      <c r="B65" s="10" t="s">
        <v>16</v>
      </c>
      <c r="C65" s="10" t="s">
        <v>17</v>
      </c>
      <c r="D65" s="68"/>
      <c r="E65" s="101" t="s">
        <v>18</v>
      </c>
      <c r="F65" s="101"/>
      <c r="G65" s="2"/>
      <c r="J65" s="54"/>
    </row>
    <row r="66" spans="1:10" s="1" customFormat="1" x14ac:dyDescent="0.3">
      <c r="A66" s="17" t="s">
        <v>19</v>
      </c>
      <c r="B66" s="11"/>
      <c r="C66" s="12"/>
      <c r="D66" s="39"/>
      <c r="E66" s="12"/>
      <c r="F66" s="18"/>
      <c r="G66" s="2"/>
      <c r="J66" s="54"/>
    </row>
    <row r="67" spans="1:10" s="1" customFormat="1" x14ac:dyDescent="0.3">
      <c r="A67" s="19" t="s">
        <v>52</v>
      </c>
      <c r="B67" s="11">
        <v>1</v>
      </c>
      <c r="C67" s="12" t="s">
        <v>21</v>
      </c>
      <c r="D67" s="39">
        <v>30000</v>
      </c>
      <c r="E67" s="12"/>
      <c r="F67" s="18">
        <f>D67*B67</f>
        <v>30000</v>
      </c>
      <c r="G67" s="2"/>
      <c r="J67" s="54"/>
    </row>
    <row r="68" spans="1:10" s="1" customFormat="1" x14ac:dyDescent="0.3">
      <c r="A68" s="19" t="s">
        <v>75</v>
      </c>
      <c r="B68" s="11">
        <v>1</v>
      </c>
      <c r="C68" s="12" t="s">
        <v>21</v>
      </c>
      <c r="D68" s="39">
        <v>10000</v>
      </c>
      <c r="E68" s="12"/>
      <c r="F68" s="18">
        <f>D68</f>
        <v>10000</v>
      </c>
      <c r="G68" s="2"/>
      <c r="J68" s="54"/>
    </row>
    <row r="69" spans="1:10" s="1" customFormat="1" x14ac:dyDescent="0.3">
      <c r="A69" s="19"/>
      <c r="B69" s="11"/>
      <c r="C69" s="12"/>
      <c r="D69" s="69" t="s">
        <v>28</v>
      </c>
      <c r="E69" s="29" t="s">
        <v>44</v>
      </c>
      <c r="F69" s="26">
        <f>SUM(F67:F68)</f>
        <v>40000</v>
      </c>
      <c r="G69" s="2"/>
      <c r="J69" s="54"/>
    </row>
    <row r="70" spans="1:10" s="1" customFormat="1" x14ac:dyDescent="0.3">
      <c r="A70" s="17" t="s">
        <v>64</v>
      </c>
      <c r="B70" s="11"/>
      <c r="C70" s="12"/>
      <c r="D70" s="39"/>
      <c r="E70" s="12"/>
      <c r="F70" s="18"/>
      <c r="G70" s="2"/>
      <c r="J70" s="54"/>
    </row>
    <row r="71" spans="1:10" s="1" customFormat="1" x14ac:dyDescent="0.3">
      <c r="A71" s="19" t="s">
        <v>65</v>
      </c>
      <c r="B71" s="11">
        <v>1</v>
      </c>
      <c r="C71" s="12" t="s">
        <v>21</v>
      </c>
      <c r="D71" s="39">
        <v>20000</v>
      </c>
      <c r="E71" s="12"/>
      <c r="F71" s="18">
        <f>D71*B71</f>
        <v>20000</v>
      </c>
      <c r="G71" s="2"/>
      <c r="J71" s="54"/>
    </row>
    <row r="72" spans="1:10" s="1" customFormat="1" x14ac:dyDescent="0.3">
      <c r="A72" s="19"/>
      <c r="B72" s="11"/>
      <c r="C72" s="12"/>
      <c r="D72" s="69" t="s">
        <v>28</v>
      </c>
      <c r="E72" s="29" t="s">
        <v>44</v>
      </c>
      <c r="F72" s="26">
        <f>SUM(F71:F71)</f>
        <v>20000</v>
      </c>
      <c r="G72" s="2"/>
      <c r="J72" s="54"/>
    </row>
    <row r="73" spans="1:10" s="1" customFormat="1" x14ac:dyDescent="0.3">
      <c r="A73" s="17" t="s">
        <v>67</v>
      </c>
      <c r="B73" s="11"/>
      <c r="C73" s="12"/>
      <c r="D73" s="39"/>
      <c r="E73" s="12"/>
      <c r="F73" s="18"/>
      <c r="G73" s="2"/>
      <c r="J73" s="54"/>
    </row>
    <row r="74" spans="1:10" s="1" customFormat="1" x14ac:dyDescent="0.3">
      <c r="A74" s="19" t="s">
        <v>68</v>
      </c>
      <c r="B74" s="11">
        <v>1</v>
      </c>
      <c r="C74" s="12" t="s">
        <v>21</v>
      </c>
      <c r="D74" s="39">
        <v>60000</v>
      </c>
      <c r="E74" s="12"/>
      <c r="F74" s="18">
        <f t="shared" ref="F74:F80" si="0">D74*B74</f>
        <v>60000</v>
      </c>
      <c r="G74" s="2"/>
      <c r="J74" s="54"/>
    </row>
    <row r="75" spans="1:10" s="1" customFormat="1" x14ac:dyDescent="0.3">
      <c r="A75" s="19" t="s">
        <v>69</v>
      </c>
      <c r="B75" s="11">
        <v>1</v>
      </c>
      <c r="C75" s="12" t="s">
        <v>21</v>
      </c>
      <c r="D75" s="39">
        <v>35000</v>
      </c>
      <c r="E75" s="12"/>
      <c r="F75" s="18">
        <f t="shared" si="0"/>
        <v>35000</v>
      </c>
      <c r="G75" s="2"/>
      <c r="J75" s="54"/>
    </row>
    <row r="76" spans="1:10" s="1" customFormat="1" x14ac:dyDescent="0.3">
      <c r="A76" s="19" t="s">
        <v>70</v>
      </c>
      <c r="B76" s="11">
        <v>1</v>
      </c>
      <c r="C76" s="12" t="s">
        <v>21</v>
      </c>
      <c r="D76" s="39">
        <v>10000</v>
      </c>
      <c r="E76" s="12"/>
      <c r="F76" s="18">
        <f t="shared" si="0"/>
        <v>10000</v>
      </c>
      <c r="G76" s="2"/>
      <c r="J76" s="54"/>
    </row>
    <row r="77" spans="1:10" s="1" customFormat="1" x14ac:dyDescent="0.3">
      <c r="A77" s="19" t="s">
        <v>71</v>
      </c>
      <c r="B77" s="11">
        <v>1</v>
      </c>
      <c r="C77" s="12" t="s">
        <v>21</v>
      </c>
      <c r="D77" s="39">
        <v>8000</v>
      </c>
      <c r="E77" s="12"/>
      <c r="F77" s="18">
        <f t="shared" si="0"/>
        <v>8000</v>
      </c>
      <c r="G77" s="2"/>
      <c r="J77" s="54"/>
    </row>
    <row r="78" spans="1:10" s="1" customFormat="1" x14ac:dyDescent="0.3">
      <c r="A78" s="19" t="s">
        <v>72</v>
      </c>
      <c r="B78" s="11">
        <v>1</v>
      </c>
      <c r="C78" s="12" t="s">
        <v>21</v>
      </c>
      <c r="D78" s="39">
        <v>10000</v>
      </c>
      <c r="E78" s="12"/>
      <c r="F78" s="18">
        <f t="shared" si="0"/>
        <v>10000</v>
      </c>
      <c r="G78" s="2"/>
      <c r="J78" s="54"/>
    </row>
    <row r="79" spans="1:10" s="1" customFormat="1" x14ac:dyDescent="0.3">
      <c r="A79" s="19" t="s">
        <v>73</v>
      </c>
      <c r="B79" s="11">
        <v>1</v>
      </c>
      <c r="C79" s="12" t="s">
        <v>21</v>
      </c>
      <c r="D79" s="39">
        <v>2000</v>
      </c>
      <c r="E79" s="12"/>
      <c r="F79" s="18">
        <f t="shared" si="0"/>
        <v>2000</v>
      </c>
      <c r="G79" s="2"/>
      <c r="J79" s="54"/>
    </row>
    <row r="80" spans="1:10" s="1" customFormat="1" x14ac:dyDescent="0.3">
      <c r="A80" s="19" t="s">
        <v>74</v>
      </c>
      <c r="B80" s="11">
        <v>1</v>
      </c>
      <c r="C80" s="12" t="s">
        <v>21</v>
      </c>
      <c r="D80" s="39">
        <v>5000</v>
      </c>
      <c r="E80" s="12"/>
      <c r="F80" s="18">
        <f t="shared" si="0"/>
        <v>5000</v>
      </c>
      <c r="G80" s="2"/>
      <c r="J80" s="54"/>
    </row>
    <row r="81" spans="1:10" s="1" customFormat="1" x14ac:dyDescent="0.3">
      <c r="A81" s="19"/>
      <c r="B81" s="11"/>
      <c r="C81" s="12"/>
      <c r="D81" s="69" t="s">
        <v>28</v>
      </c>
      <c r="E81" s="29" t="s">
        <v>44</v>
      </c>
      <c r="F81" s="26">
        <f>SUM(F74:F80)</f>
        <v>130000</v>
      </c>
      <c r="G81" s="2"/>
      <c r="J81" s="54"/>
    </row>
    <row r="82" spans="1:10" s="1" customFormat="1" x14ac:dyDescent="0.3">
      <c r="A82" s="17" t="s">
        <v>76</v>
      </c>
      <c r="B82" s="11"/>
      <c r="C82" s="12"/>
      <c r="D82" s="39"/>
      <c r="E82" s="12"/>
      <c r="F82" s="18"/>
      <c r="G82" s="2"/>
      <c r="J82" s="54"/>
    </row>
    <row r="83" spans="1:10" s="1" customFormat="1" x14ac:dyDescent="0.3">
      <c r="A83" s="19" t="s">
        <v>66</v>
      </c>
      <c r="B83" s="11">
        <v>240</v>
      </c>
      <c r="C83" s="12" t="s">
        <v>42</v>
      </c>
      <c r="D83" s="39">
        <v>55</v>
      </c>
      <c r="E83" s="12" t="s">
        <v>7</v>
      </c>
      <c r="F83" s="18">
        <f>D83*B83</f>
        <v>13200</v>
      </c>
      <c r="G83" s="2"/>
      <c r="J83" s="54"/>
    </row>
    <row r="84" spans="1:10" s="1" customFormat="1" x14ac:dyDescent="0.3">
      <c r="A84" s="19" t="s">
        <v>91</v>
      </c>
      <c r="B84" s="11">
        <v>96</v>
      </c>
      <c r="C84" s="12" t="s">
        <v>77</v>
      </c>
      <c r="D84" s="39">
        <v>120</v>
      </c>
      <c r="E84" s="12" t="s">
        <v>7</v>
      </c>
      <c r="F84" s="18">
        <f t="shared" ref="F84:F86" si="1">D84*B84</f>
        <v>11520</v>
      </c>
      <c r="G84" s="2"/>
      <c r="J84" s="54"/>
    </row>
    <row r="85" spans="1:10" s="1" customFormat="1" x14ac:dyDescent="0.3">
      <c r="A85" s="19" t="s">
        <v>78</v>
      </c>
      <c r="B85" s="11">
        <v>96</v>
      </c>
      <c r="C85" s="12" t="s">
        <v>77</v>
      </c>
      <c r="D85" s="39">
        <v>1200</v>
      </c>
      <c r="E85" s="12" t="s">
        <v>7</v>
      </c>
      <c r="F85" s="18">
        <f t="shared" si="1"/>
        <v>115200</v>
      </c>
      <c r="G85" s="2"/>
      <c r="J85" s="54"/>
    </row>
    <row r="86" spans="1:10" s="1" customFormat="1" x14ac:dyDescent="0.3">
      <c r="A86" s="19" t="s">
        <v>79</v>
      </c>
      <c r="B86" s="11">
        <v>240</v>
      </c>
      <c r="C86" s="12" t="s">
        <v>42</v>
      </c>
      <c r="D86" s="39">
        <v>22</v>
      </c>
      <c r="E86" s="12" t="s">
        <v>7</v>
      </c>
      <c r="F86" s="18">
        <f t="shared" si="1"/>
        <v>5280</v>
      </c>
      <c r="G86" s="2"/>
      <c r="J86" s="54"/>
    </row>
    <row r="87" spans="1:10" s="1" customFormat="1" x14ac:dyDescent="0.3">
      <c r="A87" s="19"/>
      <c r="B87" s="11"/>
      <c r="C87" s="12"/>
      <c r="D87" s="69" t="s">
        <v>28</v>
      </c>
      <c r="E87" s="29" t="s">
        <v>44</v>
      </c>
      <c r="F87" s="26">
        <f>SUM(F83:F86)</f>
        <v>145200</v>
      </c>
      <c r="G87" s="2"/>
      <c r="J87" s="54"/>
    </row>
    <row r="88" spans="1:10" s="1" customFormat="1" x14ac:dyDescent="0.3">
      <c r="A88" s="19"/>
      <c r="B88" s="11"/>
      <c r="C88" s="12"/>
      <c r="D88" s="70" t="s">
        <v>45</v>
      </c>
      <c r="E88" s="31" t="s">
        <v>44</v>
      </c>
      <c r="F88" s="36">
        <f>SUM(F87,F81,F72,F69)</f>
        <v>335200</v>
      </c>
      <c r="G88" s="2"/>
      <c r="J88" s="54"/>
    </row>
    <row r="89" spans="1:10" s="1" customFormat="1" x14ac:dyDescent="0.3">
      <c r="A89" s="49" t="s">
        <v>302</v>
      </c>
      <c r="B89" s="15"/>
      <c r="C89" s="15"/>
      <c r="D89" s="62"/>
      <c r="E89" s="15"/>
      <c r="F89" s="22"/>
      <c r="G89" s="2"/>
      <c r="J89" s="54"/>
    </row>
    <row r="90" spans="1:10" s="1" customFormat="1" x14ac:dyDescent="0.3">
      <c r="A90" s="21" t="s">
        <v>29</v>
      </c>
      <c r="B90" s="15"/>
      <c r="C90" s="15"/>
      <c r="D90" s="62"/>
      <c r="E90" s="15"/>
      <c r="F90" s="15"/>
      <c r="G90" s="2"/>
      <c r="J90" s="54"/>
    </row>
    <row r="91" spans="1:10" s="1" customFormat="1" x14ac:dyDescent="0.3">
      <c r="A91" s="10" t="s">
        <v>15</v>
      </c>
      <c r="B91" s="10" t="s">
        <v>16</v>
      </c>
      <c r="C91" s="10" t="s">
        <v>17</v>
      </c>
      <c r="D91" s="68"/>
      <c r="E91" s="101" t="s">
        <v>18</v>
      </c>
      <c r="F91" s="101"/>
      <c r="G91" s="2"/>
      <c r="J91" s="54"/>
    </row>
    <row r="92" spans="1:10" s="1" customFormat="1" x14ac:dyDescent="0.3">
      <c r="A92" s="17" t="s">
        <v>86</v>
      </c>
      <c r="B92" s="11"/>
      <c r="C92" s="12"/>
      <c r="D92" s="39"/>
      <c r="E92" s="12"/>
      <c r="F92" s="35"/>
      <c r="G92" s="2"/>
      <c r="J92" s="54"/>
    </row>
    <row r="93" spans="1:10" customFormat="1" ht="15" x14ac:dyDescent="0.25">
      <c r="A93" s="19" t="s">
        <v>22</v>
      </c>
      <c r="B93" s="11">
        <v>142</v>
      </c>
      <c r="C93" s="12" t="s">
        <v>23</v>
      </c>
      <c r="D93" s="39">
        <v>240</v>
      </c>
      <c r="E93" s="12" t="s">
        <v>7</v>
      </c>
      <c r="F93" s="18">
        <f>B93*D93</f>
        <v>34080</v>
      </c>
    </row>
    <row r="94" spans="1:10" customFormat="1" ht="15" x14ac:dyDescent="0.25">
      <c r="A94" s="19" t="s">
        <v>53</v>
      </c>
      <c r="B94" s="11">
        <v>7.875</v>
      </c>
      <c r="C94" s="12" t="s">
        <v>77</v>
      </c>
      <c r="D94" s="39">
        <v>1500</v>
      </c>
      <c r="E94" s="12" t="s">
        <v>7</v>
      </c>
      <c r="F94" s="18">
        <f>D94*B94</f>
        <v>11812.5</v>
      </c>
    </row>
    <row r="95" spans="1:10" customFormat="1" ht="15" x14ac:dyDescent="0.25">
      <c r="A95" s="19" t="s">
        <v>24</v>
      </c>
      <c r="B95" s="11">
        <v>15.75</v>
      </c>
      <c r="C95" s="12" t="s">
        <v>77</v>
      </c>
      <c r="D95" s="39">
        <v>1500</v>
      </c>
      <c r="E95" s="12" t="s">
        <v>7</v>
      </c>
      <c r="F95" s="18">
        <f>B95*D95</f>
        <v>23625</v>
      </c>
    </row>
    <row r="96" spans="1:10" customFormat="1" ht="15" x14ac:dyDescent="0.25">
      <c r="A96" s="19" t="s">
        <v>80</v>
      </c>
      <c r="B96" s="11">
        <v>18</v>
      </c>
      <c r="C96" s="12" t="s">
        <v>81</v>
      </c>
      <c r="D96" s="39">
        <v>95</v>
      </c>
      <c r="E96" s="12" t="s">
        <v>7</v>
      </c>
      <c r="F96" s="18">
        <f>D96*B96</f>
        <v>1710</v>
      </c>
    </row>
    <row r="97" spans="1:10" customFormat="1" ht="15" x14ac:dyDescent="0.25">
      <c r="A97" s="19" t="s">
        <v>82</v>
      </c>
      <c r="B97" s="11">
        <v>55</v>
      </c>
      <c r="C97" s="12" t="s">
        <v>25</v>
      </c>
      <c r="D97" s="39">
        <v>460</v>
      </c>
      <c r="E97" s="12" t="s">
        <v>7</v>
      </c>
      <c r="F97" s="18">
        <f>B97*D97</f>
        <v>25300</v>
      </c>
    </row>
    <row r="98" spans="1:10" customFormat="1" ht="15" x14ac:dyDescent="0.25">
      <c r="A98" s="19" t="s">
        <v>83</v>
      </c>
      <c r="B98" s="11">
        <v>45</v>
      </c>
      <c r="C98" s="12" t="s">
        <v>25</v>
      </c>
      <c r="D98" s="39">
        <v>310</v>
      </c>
      <c r="E98" s="12" t="s">
        <v>7</v>
      </c>
      <c r="F98" s="18">
        <f>D98*B98</f>
        <v>13950</v>
      </c>
    </row>
    <row r="99" spans="1:10" s="1" customFormat="1" x14ac:dyDescent="0.3">
      <c r="A99" s="19"/>
      <c r="B99" s="11"/>
      <c r="C99" s="12"/>
      <c r="D99" s="69" t="s">
        <v>28</v>
      </c>
      <c r="E99" s="29" t="s">
        <v>44</v>
      </c>
      <c r="F99" s="26">
        <f>SUM(F93:F98)</f>
        <v>110477.5</v>
      </c>
      <c r="G99" s="2"/>
      <c r="J99" s="54"/>
    </row>
    <row r="100" spans="1:10" s="1" customFormat="1" x14ac:dyDescent="0.3">
      <c r="A100" s="17" t="s">
        <v>85</v>
      </c>
      <c r="B100" s="11"/>
      <c r="C100" s="12"/>
      <c r="D100" s="39"/>
      <c r="E100" s="12"/>
      <c r="F100" s="35"/>
      <c r="G100" s="2"/>
      <c r="J100" s="54"/>
    </row>
    <row r="101" spans="1:10" s="1" customFormat="1" x14ac:dyDescent="0.3">
      <c r="A101" s="19" t="s">
        <v>22</v>
      </c>
      <c r="B101" s="11">
        <v>72</v>
      </c>
      <c r="C101" s="12" t="s">
        <v>23</v>
      </c>
      <c r="D101" s="39">
        <v>240</v>
      </c>
      <c r="E101" s="12"/>
      <c r="F101" s="18">
        <f t="shared" ref="F101:F106" si="2">D101*B101</f>
        <v>17280</v>
      </c>
      <c r="G101" s="2"/>
      <c r="J101" s="54"/>
    </row>
    <row r="102" spans="1:10" s="1" customFormat="1" x14ac:dyDescent="0.3">
      <c r="A102" s="19" t="s">
        <v>53</v>
      </c>
      <c r="B102" s="11">
        <v>4.29</v>
      </c>
      <c r="C102" s="12" t="s">
        <v>49</v>
      </c>
      <c r="D102" s="39">
        <v>1500</v>
      </c>
      <c r="E102" s="12"/>
      <c r="F102" s="18">
        <f t="shared" si="2"/>
        <v>6435</v>
      </c>
      <c r="G102" s="2"/>
      <c r="J102" s="54"/>
    </row>
    <row r="103" spans="1:10" s="1" customFormat="1" x14ac:dyDescent="0.3">
      <c r="A103" s="19" t="s">
        <v>24</v>
      </c>
      <c r="B103" s="11">
        <v>6.58</v>
      </c>
      <c r="C103" s="12" t="s">
        <v>49</v>
      </c>
      <c r="D103" s="39">
        <v>1500</v>
      </c>
      <c r="E103" s="12"/>
      <c r="F103" s="18">
        <f t="shared" si="2"/>
        <v>9870</v>
      </c>
      <c r="G103" s="2"/>
      <c r="J103" s="54"/>
    </row>
    <row r="104" spans="1:10" s="1" customFormat="1" x14ac:dyDescent="0.3">
      <c r="A104" s="19" t="s">
        <v>84</v>
      </c>
      <c r="B104" s="11">
        <v>68</v>
      </c>
      <c r="C104" s="12" t="s">
        <v>25</v>
      </c>
      <c r="D104" s="39">
        <v>460</v>
      </c>
      <c r="E104" s="12"/>
      <c r="F104" s="18">
        <f t="shared" si="2"/>
        <v>31280</v>
      </c>
      <c r="G104" s="2"/>
      <c r="J104" s="54"/>
    </row>
    <row r="105" spans="1:10" s="1" customFormat="1" x14ac:dyDescent="0.3">
      <c r="A105" s="19" t="s">
        <v>55</v>
      </c>
      <c r="B105" s="11">
        <v>91</v>
      </c>
      <c r="C105" s="12" t="s">
        <v>25</v>
      </c>
      <c r="D105" s="39">
        <v>230</v>
      </c>
      <c r="E105" s="12"/>
      <c r="F105" s="18">
        <f t="shared" si="2"/>
        <v>20930</v>
      </c>
      <c r="G105" s="2"/>
      <c r="J105" s="54"/>
    </row>
    <row r="106" spans="1:10" s="1" customFormat="1" x14ac:dyDescent="0.3">
      <c r="A106" s="19" t="s">
        <v>54</v>
      </c>
      <c r="B106" s="11">
        <v>12</v>
      </c>
      <c r="C106" s="12" t="s">
        <v>41</v>
      </c>
      <c r="D106" s="39">
        <v>95</v>
      </c>
      <c r="E106" s="12"/>
      <c r="F106" s="18">
        <f t="shared" si="2"/>
        <v>1140</v>
      </c>
      <c r="G106" s="2"/>
      <c r="J106" s="54"/>
    </row>
    <row r="107" spans="1:10" s="1" customFormat="1" x14ac:dyDescent="0.3">
      <c r="A107" s="19"/>
      <c r="B107" s="11"/>
      <c r="C107" s="12"/>
      <c r="D107" s="69" t="s">
        <v>28</v>
      </c>
      <c r="E107" s="29" t="s">
        <v>44</v>
      </c>
      <c r="F107" s="26">
        <f>SUM(F101:F106)</f>
        <v>86935</v>
      </c>
      <c r="G107" s="2"/>
      <c r="J107" s="54"/>
    </row>
    <row r="108" spans="1:10" s="1" customFormat="1" x14ac:dyDescent="0.3">
      <c r="A108" s="17" t="s">
        <v>87</v>
      </c>
      <c r="B108" s="11"/>
      <c r="C108" s="12"/>
      <c r="D108" s="39"/>
      <c r="E108" s="12"/>
      <c r="F108" s="35"/>
      <c r="G108" s="2"/>
      <c r="J108" s="54"/>
    </row>
    <row r="109" spans="1:10" s="1" customFormat="1" x14ac:dyDescent="0.3">
      <c r="A109" s="19" t="s">
        <v>22</v>
      </c>
      <c r="B109" s="11">
        <v>249</v>
      </c>
      <c r="C109" s="12" t="s">
        <v>23</v>
      </c>
      <c r="D109" s="39">
        <v>240</v>
      </c>
      <c r="E109" s="12"/>
      <c r="F109" s="18">
        <f t="shared" ref="F109" si="3">D109*B109</f>
        <v>59760</v>
      </c>
      <c r="G109" s="2"/>
      <c r="J109" s="54"/>
    </row>
    <row r="110" spans="1:10" s="1" customFormat="1" x14ac:dyDescent="0.3">
      <c r="A110" s="19" t="s">
        <v>53</v>
      </c>
      <c r="B110" s="11">
        <v>13.8</v>
      </c>
      <c r="C110" s="12" t="s">
        <v>49</v>
      </c>
      <c r="D110" s="39">
        <v>1500</v>
      </c>
      <c r="E110" s="12"/>
      <c r="F110" s="18">
        <f t="shared" ref="F110:F114" si="4">D110*B110</f>
        <v>20700</v>
      </c>
      <c r="G110" s="2"/>
      <c r="J110" s="54"/>
    </row>
    <row r="111" spans="1:10" s="1" customFormat="1" x14ac:dyDescent="0.3">
      <c r="A111" s="19" t="s">
        <v>24</v>
      </c>
      <c r="B111" s="11">
        <v>27.6</v>
      </c>
      <c r="C111" s="12" t="s">
        <v>49</v>
      </c>
      <c r="D111" s="39">
        <v>1500</v>
      </c>
      <c r="E111" s="12"/>
      <c r="F111" s="18">
        <f t="shared" ref="F111" si="5">D111*B111</f>
        <v>41400</v>
      </c>
      <c r="G111" s="2"/>
      <c r="J111" s="54"/>
    </row>
    <row r="112" spans="1:10" s="1" customFormat="1" x14ac:dyDescent="0.3">
      <c r="A112" s="19" t="s">
        <v>88</v>
      </c>
      <c r="B112" s="11">
        <v>135</v>
      </c>
      <c r="C112" s="12" t="s">
        <v>25</v>
      </c>
      <c r="D112" s="39">
        <v>460</v>
      </c>
      <c r="E112" s="12"/>
      <c r="F112" s="18">
        <f t="shared" si="4"/>
        <v>62100</v>
      </c>
      <c r="G112" s="2"/>
      <c r="J112" s="54"/>
    </row>
    <row r="113" spans="1:10" s="1" customFormat="1" x14ac:dyDescent="0.3">
      <c r="A113" s="19" t="s">
        <v>89</v>
      </c>
      <c r="B113" s="11">
        <v>248</v>
      </c>
      <c r="C113" s="12" t="s">
        <v>25</v>
      </c>
      <c r="D113" s="39">
        <v>230</v>
      </c>
      <c r="E113" s="12"/>
      <c r="F113" s="18">
        <f t="shared" ref="F113" si="6">D113*B113</f>
        <v>57040</v>
      </c>
      <c r="G113" s="2"/>
      <c r="J113" s="54"/>
    </row>
    <row r="114" spans="1:10" s="1" customFormat="1" x14ac:dyDescent="0.3">
      <c r="A114" s="19" t="s">
        <v>54</v>
      </c>
      <c r="B114" s="11">
        <v>46</v>
      </c>
      <c r="C114" s="12" t="s">
        <v>41</v>
      </c>
      <c r="D114" s="39">
        <v>90</v>
      </c>
      <c r="E114" s="12"/>
      <c r="F114" s="18">
        <f t="shared" si="4"/>
        <v>4140</v>
      </c>
      <c r="G114" s="2"/>
      <c r="J114" s="54"/>
    </row>
    <row r="115" spans="1:10" s="1" customFormat="1" x14ac:dyDescent="0.3">
      <c r="A115" s="19"/>
      <c r="B115" s="11"/>
      <c r="C115" s="12"/>
      <c r="D115" s="69" t="s">
        <v>28</v>
      </c>
      <c r="E115" s="29" t="s">
        <v>44</v>
      </c>
      <c r="F115" s="26">
        <f>SUM(F109:F114)</f>
        <v>245140</v>
      </c>
      <c r="G115" s="2"/>
      <c r="J115" s="54"/>
    </row>
    <row r="116" spans="1:10" s="1" customFormat="1" x14ac:dyDescent="0.3">
      <c r="A116" s="17" t="s">
        <v>139</v>
      </c>
      <c r="B116" s="11"/>
      <c r="C116" s="12"/>
      <c r="D116" s="39"/>
      <c r="E116" s="12"/>
      <c r="F116" s="35"/>
      <c r="G116" s="2"/>
      <c r="J116" s="54"/>
    </row>
    <row r="117" spans="1:10" s="1" customFormat="1" x14ac:dyDescent="0.3">
      <c r="A117" s="19" t="s">
        <v>22</v>
      </c>
      <c r="B117" s="11">
        <v>432</v>
      </c>
      <c r="C117" s="12" t="s">
        <v>23</v>
      </c>
      <c r="D117" s="39">
        <v>240</v>
      </c>
      <c r="E117" s="12"/>
      <c r="F117" s="18">
        <f t="shared" ref="F117:F121" si="7">D117*B117</f>
        <v>103680</v>
      </c>
      <c r="G117" s="2"/>
      <c r="J117" s="54"/>
    </row>
    <row r="118" spans="1:10" s="1" customFormat="1" x14ac:dyDescent="0.3">
      <c r="A118" s="19" t="s">
        <v>53</v>
      </c>
      <c r="B118" s="11">
        <v>18</v>
      </c>
      <c r="C118" s="12" t="s">
        <v>49</v>
      </c>
      <c r="D118" s="39">
        <v>1500</v>
      </c>
      <c r="E118" s="12"/>
      <c r="F118" s="18">
        <f t="shared" si="7"/>
        <v>27000</v>
      </c>
      <c r="G118" s="2"/>
      <c r="J118" s="54"/>
    </row>
    <row r="119" spans="1:10" s="1" customFormat="1" x14ac:dyDescent="0.3">
      <c r="A119" s="19" t="s">
        <v>24</v>
      </c>
      <c r="B119" s="11">
        <v>36</v>
      </c>
      <c r="C119" s="12" t="s">
        <v>49</v>
      </c>
      <c r="D119" s="39">
        <v>1500</v>
      </c>
      <c r="E119" s="12"/>
      <c r="F119" s="18">
        <f t="shared" si="7"/>
        <v>54000</v>
      </c>
      <c r="G119" s="2"/>
      <c r="J119" s="54"/>
    </row>
    <row r="120" spans="1:10" s="1" customFormat="1" x14ac:dyDescent="0.3">
      <c r="A120" s="19" t="s">
        <v>90</v>
      </c>
      <c r="B120" s="11">
        <v>287</v>
      </c>
      <c r="C120" s="12" t="s">
        <v>25</v>
      </c>
      <c r="D120" s="39">
        <v>310</v>
      </c>
      <c r="E120" s="12"/>
      <c r="F120" s="18">
        <f t="shared" si="7"/>
        <v>88970</v>
      </c>
      <c r="G120" s="2"/>
      <c r="J120" s="54"/>
    </row>
    <row r="121" spans="1:10" s="1" customFormat="1" x14ac:dyDescent="0.3">
      <c r="A121" s="19" t="s">
        <v>54</v>
      </c>
      <c r="B121" s="11">
        <v>37.5</v>
      </c>
      <c r="C121" s="12" t="s">
        <v>41</v>
      </c>
      <c r="D121" s="39">
        <v>95</v>
      </c>
      <c r="E121" s="12"/>
      <c r="F121" s="18">
        <f t="shared" si="7"/>
        <v>3562.5</v>
      </c>
      <c r="G121" s="2"/>
      <c r="J121" s="54"/>
    </row>
    <row r="122" spans="1:10" s="1" customFormat="1" x14ac:dyDescent="0.3">
      <c r="A122" s="19"/>
      <c r="B122" s="11"/>
      <c r="C122" s="12"/>
      <c r="D122" s="69" t="s">
        <v>28</v>
      </c>
      <c r="E122" s="29" t="s">
        <v>44</v>
      </c>
      <c r="F122" s="26">
        <f>SUM(F117:F121)</f>
        <v>277212.5</v>
      </c>
      <c r="G122" s="2"/>
      <c r="J122" s="54"/>
    </row>
    <row r="123" spans="1:10" s="1" customFormat="1" x14ac:dyDescent="0.3">
      <c r="A123" s="17" t="s">
        <v>278</v>
      </c>
      <c r="B123" s="11"/>
      <c r="C123" s="12"/>
      <c r="D123" s="39"/>
      <c r="E123" s="12"/>
      <c r="F123" s="35"/>
      <c r="G123" s="2"/>
      <c r="J123" s="54"/>
    </row>
    <row r="124" spans="1:10" s="1" customFormat="1" x14ac:dyDescent="0.3">
      <c r="A124" s="19" t="s">
        <v>133</v>
      </c>
      <c r="B124" s="11">
        <v>97.01</v>
      </c>
      <c r="C124" s="12" t="s">
        <v>42</v>
      </c>
      <c r="D124" s="39">
        <v>930</v>
      </c>
      <c r="E124" s="57"/>
      <c r="F124" s="18">
        <f t="shared" ref="F124:F128" si="8">D124*B124</f>
        <v>90219.3</v>
      </c>
      <c r="G124" s="2"/>
      <c r="J124" s="54"/>
    </row>
    <row r="125" spans="1:10" s="1" customFormat="1" x14ac:dyDescent="0.3">
      <c r="A125" s="19" t="s">
        <v>134</v>
      </c>
      <c r="B125" s="11">
        <v>300</v>
      </c>
      <c r="C125" s="12" t="s">
        <v>25</v>
      </c>
      <c r="D125" s="39">
        <v>5</v>
      </c>
      <c r="E125" s="57"/>
      <c r="F125" s="18">
        <f t="shared" si="8"/>
        <v>1500</v>
      </c>
      <c r="G125" s="2"/>
      <c r="J125" s="54"/>
    </row>
    <row r="126" spans="1:10" s="1" customFormat="1" ht="27" x14ac:dyDescent="0.3">
      <c r="A126" s="58" t="s">
        <v>135</v>
      </c>
      <c r="B126" s="11">
        <v>60</v>
      </c>
      <c r="C126" s="12" t="s">
        <v>25</v>
      </c>
      <c r="D126" s="39">
        <v>160</v>
      </c>
      <c r="E126" s="57"/>
      <c r="F126" s="18">
        <f t="shared" si="8"/>
        <v>9600</v>
      </c>
      <c r="G126" s="2"/>
      <c r="J126" s="54"/>
    </row>
    <row r="127" spans="1:10" s="1" customFormat="1" x14ac:dyDescent="0.3">
      <c r="A127" s="19" t="s">
        <v>31</v>
      </c>
      <c r="B127" s="11">
        <v>20</v>
      </c>
      <c r="C127" s="12" t="s">
        <v>25</v>
      </c>
      <c r="D127" s="39">
        <v>250</v>
      </c>
      <c r="E127" s="57"/>
      <c r="F127" s="18">
        <f t="shared" si="8"/>
        <v>5000</v>
      </c>
      <c r="G127" s="2"/>
      <c r="J127" s="54"/>
    </row>
    <row r="128" spans="1:10" s="1" customFormat="1" x14ac:dyDescent="0.3">
      <c r="A128" s="19" t="s">
        <v>22</v>
      </c>
      <c r="B128" s="11">
        <v>92</v>
      </c>
      <c r="C128" s="12" t="s">
        <v>23</v>
      </c>
      <c r="D128" s="39">
        <v>270</v>
      </c>
      <c r="E128" s="57"/>
      <c r="F128" s="18">
        <f t="shared" si="8"/>
        <v>24840</v>
      </c>
      <c r="G128" s="2"/>
      <c r="J128" s="54"/>
    </row>
    <row r="129" spans="1:10" s="1" customFormat="1" x14ac:dyDescent="0.3">
      <c r="A129" s="19" t="s">
        <v>137</v>
      </c>
      <c r="B129" s="11">
        <v>5</v>
      </c>
      <c r="C129" s="12" t="s">
        <v>49</v>
      </c>
      <c r="D129" s="39">
        <v>1500</v>
      </c>
      <c r="E129" s="57"/>
      <c r="F129" s="18">
        <f t="shared" ref="F129:F134" si="9">D129*B129</f>
        <v>7500</v>
      </c>
      <c r="G129" s="2"/>
      <c r="J129" s="54"/>
    </row>
    <row r="130" spans="1:10" s="1" customFormat="1" x14ac:dyDescent="0.3">
      <c r="A130" s="19" t="s">
        <v>138</v>
      </c>
      <c r="B130" s="11">
        <v>7</v>
      </c>
      <c r="C130" s="12" t="s">
        <v>49</v>
      </c>
      <c r="D130" s="39">
        <v>1500</v>
      </c>
      <c r="E130" s="57"/>
      <c r="F130" s="18">
        <f t="shared" si="9"/>
        <v>10500</v>
      </c>
      <c r="G130" s="2"/>
      <c r="J130" s="54"/>
    </row>
    <row r="131" spans="1:10" s="1" customFormat="1" x14ac:dyDescent="0.3">
      <c r="A131" s="19" t="s">
        <v>89</v>
      </c>
      <c r="B131" s="11">
        <v>180</v>
      </c>
      <c r="C131" s="12" t="s">
        <v>25</v>
      </c>
      <c r="D131" s="39">
        <v>230</v>
      </c>
      <c r="E131" s="12"/>
      <c r="F131" s="18">
        <f t="shared" si="9"/>
        <v>41400</v>
      </c>
      <c r="G131" s="2"/>
      <c r="J131" s="54"/>
    </row>
    <row r="132" spans="1:10" s="1" customFormat="1" x14ac:dyDescent="0.3">
      <c r="A132" s="19" t="s">
        <v>54</v>
      </c>
      <c r="B132" s="11">
        <v>52</v>
      </c>
      <c r="C132" s="12" t="s">
        <v>41</v>
      </c>
      <c r="D132" s="39">
        <v>95</v>
      </c>
      <c r="E132" s="12"/>
      <c r="F132" s="18">
        <f t="shared" si="9"/>
        <v>4940</v>
      </c>
      <c r="G132" s="2"/>
      <c r="J132" s="54"/>
    </row>
    <row r="133" spans="1:10" s="1" customFormat="1" x14ac:dyDescent="0.3">
      <c r="A133" t="s">
        <v>136</v>
      </c>
      <c r="B133" s="11">
        <v>2</v>
      </c>
      <c r="C133" s="12" t="s">
        <v>81</v>
      </c>
      <c r="D133" s="39">
        <v>300</v>
      </c>
      <c r="E133" s="12"/>
      <c r="F133" s="18">
        <f t="shared" si="9"/>
        <v>600</v>
      </c>
      <c r="G133" s="2"/>
      <c r="J133" s="54"/>
    </row>
    <row r="134" spans="1:10" s="1" customFormat="1" x14ac:dyDescent="0.3">
      <c r="A134" s="59" t="s">
        <v>51</v>
      </c>
      <c r="B134" s="11">
        <v>2</v>
      </c>
      <c r="C134" s="12" t="s">
        <v>37</v>
      </c>
      <c r="D134" s="39">
        <v>180</v>
      </c>
      <c r="E134" s="12"/>
      <c r="F134" s="18">
        <f t="shared" si="9"/>
        <v>360</v>
      </c>
      <c r="G134" s="2"/>
      <c r="J134" s="54"/>
    </row>
    <row r="135" spans="1:10" s="1" customFormat="1" x14ac:dyDescent="0.3">
      <c r="A135" s="19"/>
      <c r="B135" s="11"/>
      <c r="C135" s="12"/>
      <c r="D135" s="69" t="s">
        <v>28</v>
      </c>
      <c r="E135" s="29" t="s">
        <v>44</v>
      </c>
      <c r="F135" s="26">
        <f>SUM(F124:F134)</f>
        <v>196459.3</v>
      </c>
      <c r="G135" s="2"/>
      <c r="J135" s="54"/>
    </row>
    <row r="136" spans="1:10" s="1" customFormat="1" x14ac:dyDescent="0.3">
      <c r="A136" s="17" t="s">
        <v>279</v>
      </c>
      <c r="B136" s="11"/>
      <c r="C136" s="12"/>
      <c r="D136" s="39"/>
      <c r="E136" s="12"/>
      <c r="F136" s="35"/>
      <c r="G136" s="2"/>
      <c r="J136" s="54"/>
    </row>
    <row r="137" spans="1:10" s="1" customFormat="1" x14ac:dyDescent="0.3">
      <c r="A137" s="19" t="s">
        <v>22</v>
      </c>
      <c r="B137" s="11">
        <v>20.399999999999999</v>
      </c>
      <c r="C137" s="12" t="s">
        <v>23</v>
      </c>
      <c r="D137" s="39">
        <v>240</v>
      </c>
      <c r="E137" s="12"/>
      <c r="F137" s="18">
        <f t="shared" ref="F137:F148" si="10">D137*B137</f>
        <v>4896</v>
      </c>
      <c r="G137" s="2"/>
      <c r="J137" s="54"/>
    </row>
    <row r="138" spans="1:10" s="1" customFormat="1" x14ac:dyDescent="0.3">
      <c r="A138" s="19" t="s">
        <v>53</v>
      </c>
      <c r="B138" s="11">
        <v>1.429</v>
      </c>
      <c r="C138" s="12" t="s">
        <v>49</v>
      </c>
      <c r="D138" s="39">
        <v>1500</v>
      </c>
      <c r="E138" s="12"/>
      <c r="F138" s="18">
        <f t="shared" si="10"/>
        <v>2143.5</v>
      </c>
      <c r="G138" s="2"/>
      <c r="J138" s="54"/>
    </row>
    <row r="139" spans="1:10" s="1" customFormat="1" x14ac:dyDescent="0.3">
      <c r="A139" s="19" t="s">
        <v>26</v>
      </c>
      <c r="B139" s="11">
        <v>0.5</v>
      </c>
      <c r="C139" s="12" t="s">
        <v>49</v>
      </c>
      <c r="D139" s="39">
        <v>1800</v>
      </c>
      <c r="E139" s="12"/>
      <c r="F139" s="18">
        <f t="shared" si="10"/>
        <v>900</v>
      </c>
      <c r="G139" s="2"/>
      <c r="J139" s="54"/>
    </row>
    <row r="140" spans="1:10" s="1" customFormat="1" x14ac:dyDescent="0.3">
      <c r="A140" s="19" t="s">
        <v>24</v>
      </c>
      <c r="B140" s="11">
        <v>2.86</v>
      </c>
      <c r="C140" s="12" t="s">
        <v>49</v>
      </c>
      <c r="D140" s="39">
        <v>1500</v>
      </c>
      <c r="E140" s="12"/>
      <c r="F140" s="18">
        <f t="shared" si="10"/>
        <v>4290</v>
      </c>
      <c r="G140" s="2"/>
      <c r="J140" s="54"/>
    </row>
    <row r="141" spans="1:10" s="1" customFormat="1" x14ac:dyDescent="0.3">
      <c r="A141" s="19" t="s">
        <v>56</v>
      </c>
      <c r="B141" s="11">
        <v>6</v>
      </c>
      <c r="C141" s="12" t="s">
        <v>25</v>
      </c>
      <c r="D141" s="39">
        <v>330</v>
      </c>
      <c r="E141" s="12"/>
      <c r="F141" s="18">
        <f t="shared" si="10"/>
        <v>1980</v>
      </c>
      <c r="G141" s="2"/>
      <c r="J141" s="54"/>
    </row>
    <row r="142" spans="1:10" s="1" customFormat="1" x14ac:dyDescent="0.3">
      <c r="A142" s="19" t="s">
        <v>55</v>
      </c>
      <c r="B142" s="11">
        <v>5</v>
      </c>
      <c r="C142" s="12" t="s">
        <v>25</v>
      </c>
      <c r="D142" s="39">
        <v>230</v>
      </c>
      <c r="E142" s="12"/>
      <c r="F142" s="18">
        <f t="shared" si="10"/>
        <v>1150</v>
      </c>
      <c r="G142" s="2"/>
      <c r="J142" s="54"/>
    </row>
    <row r="143" spans="1:10" s="1" customFormat="1" x14ac:dyDescent="0.3">
      <c r="A143" s="19" t="s">
        <v>54</v>
      </c>
      <c r="B143" s="11">
        <v>5</v>
      </c>
      <c r="C143" s="12" t="s">
        <v>41</v>
      </c>
      <c r="D143" s="39">
        <v>90</v>
      </c>
      <c r="E143" s="12"/>
      <c r="F143" s="18">
        <f t="shared" si="10"/>
        <v>450</v>
      </c>
      <c r="G143" s="2"/>
      <c r="J143" s="54"/>
    </row>
    <row r="144" spans="1:10" s="1" customFormat="1" x14ac:dyDescent="0.3">
      <c r="A144" s="19" t="s">
        <v>43</v>
      </c>
      <c r="B144" s="11">
        <v>313</v>
      </c>
      <c r="C144" s="12" t="s">
        <v>25</v>
      </c>
      <c r="D144" s="48">
        <v>18</v>
      </c>
      <c r="E144" s="23"/>
      <c r="F144" s="48">
        <f t="shared" si="10"/>
        <v>5634</v>
      </c>
      <c r="G144" s="2"/>
      <c r="J144" s="54"/>
    </row>
    <row r="145" spans="1:10" s="1" customFormat="1" x14ac:dyDescent="0.3">
      <c r="A145" s="19" t="s">
        <v>59</v>
      </c>
      <c r="B145" s="11">
        <v>4</v>
      </c>
      <c r="C145" s="12" t="s">
        <v>25</v>
      </c>
      <c r="D145" s="39">
        <v>1150</v>
      </c>
      <c r="E145" s="12"/>
      <c r="F145" s="18">
        <f t="shared" si="10"/>
        <v>4600</v>
      </c>
      <c r="G145" s="2"/>
      <c r="J145" s="54"/>
    </row>
    <row r="146" spans="1:10" s="1" customFormat="1" x14ac:dyDescent="0.3">
      <c r="A146" s="19" t="s">
        <v>92</v>
      </c>
      <c r="B146" s="11">
        <v>4</v>
      </c>
      <c r="C146" s="12" t="s">
        <v>25</v>
      </c>
      <c r="D146" s="39">
        <v>1150</v>
      </c>
      <c r="E146" s="12"/>
      <c r="F146" s="18">
        <f t="shared" ref="F146" si="11">D146*B146</f>
        <v>4600</v>
      </c>
      <c r="G146" s="2"/>
      <c r="J146" s="54"/>
    </row>
    <row r="147" spans="1:10" s="1" customFormat="1" x14ac:dyDescent="0.3">
      <c r="A147" s="19" t="s">
        <v>93</v>
      </c>
      <c r="B147" s="11">
        <v>5</v>
      </c>
      <c r="C147" s="12" t="s">
        <v>25</v>
      </c>
      <c r="D147" s="39">
        <v>1150</v>
      </c>
      <c r="E147" s="12"/>
      <c r="F147" s="18">
        <f t="shared" ref="F147" si="12">D147*B147</f>
        <v>5750</v>
      </c>
      <c r="G147" s="2"/>
      <c r="J147" s="54"/>
    </row>
    <row r="148" spans="1:10" s="1" customFormat="1" x14ac:dyDescent="0.3">
      <c r="A148" s="19" t="s">
        <v>51</v>
      </c>
      <c r="B148" s="11">
        <v>2</v>
      </c>
      <c r="C148" s="12" t="s">
        <v>27</v>
      </c>
      <c r="D148" s="39">
        <v>128</v>
      </c>
      <c r="E148" s="12"/>
      <c r="F148" s="18">
        <f t="shared" si="10"/>
        <v>256</v>
      </c>
      <c r="G148" s="2"/>
      <c r="J148" s="54"/>
    </row>
    <row r="149" spans="1:10" s="1" customFormat="1" x14ac:dyDescent="0.3">
      <c r="A149" s="19"/>
      <c r="B149" s="11"/>
      <c r="C149" s="12"/>
      <c r="D149" s="69" t="s">
        <v>28</v>
      </c>
      <c r="E149" s="29" t="s">
        <v>44</v>
      </c>
      <c r="F149" s="26">
        <f>SUM(F137:F148)</f>
        <v>36649.5</v>
      </c>
      <c r="G149" s="2"/>
      <c r="J149" s="54"/>
    </row>
    <row r="150" spans="1:10" s="1" customFormat="1" x14ac:dyDescent="0.3">
      <c r="A150" s="17" t="s">
        <v>280</v>
      </c>
      <c r="B150" s="11"/>
      <c r="C150" s="12"/>
      <c r="D150" s="39"/>
      <c r="E150" s="12"/>
      <c r="F150" s="35"/>
      <c r="G150" s="2"/>
      <c r="J150" s="54"/>
    </row>
    <row r="151" spans="1:10" s="1" customFormat="1" x14ac:dyDescent="0.3">
      <c r="A151" s="19" t="s">
        <v>50</v>
      </c>
      <c r="B151" s="11">
        <v>50</v>
      </c>
      <c r="C151" s="12" t="s">
        <v>25</v>
      </c>
      <c r="D151" s="39">
        <v>1500</v>
      </c>
      <c r="E151" s="12"/>
      <c r="F151" s="18">
        <f t="shared" ref="F151:F159" si="13">D151*B151</f>
        <v>75000</v>
      </c>
      <c r="G151" s="2"/>
      <c r="J151" s="54"/>
    </row>
    <row r="152" spans="1:10" s="1" customFormat="1" x14ac:dyDescent="0.3">
      <c r="A152" s="19" t="s">
        <v>102</v>
      </c>
      <c r="B152" s="11">
        <v>15</v>
      </c>
      <c r="C152" s="12" t="s">
        <v>25</v>
      </c>
      <c r="D152" s="39">
        <v>140</v>
      </c>
      <c r="E152" s="12"/>
      <c r="F152" s="18">
        <f t="shared" si="13"/>
        <v>2100</v>
      </c>
      <c r="G152" s="2"/>
      <c r="J152" s="54"/>
    </row>
    <row r="153" spans="1:10" s="1" customFormat="1" x14ac:dyDescent="0.3">
      <c r="A153" s="19" t="s">
        <v>57</v>
      </c>
      <c r="B153" s="11">
        <v>10</v>
      </c>
      <c r="C153" s="12" t="s">
        <v>25</v>
      </c>
      <c r="D153" s="39">
        <v>140</v>
      </c>
      <c r="E153" s="12"/>
      <c r="F153" s="18">
        <f t="shared" ref="F153" si="14">D153*B153</f>
        <v>1400</v>
      </c>
      <c r="G153" s="2"/>
      <c r="J153" s="54"/>
    </row>
    <row r="154" spans="1:10" s="1" customFormat="1" x14ac:dyDescent="0.3">
      <c r="A154" s="19" t="s">
        <v>58</v>
      </c>
      <c r="B154" s="11">
        <v>435</v>
      </c>
      <c r="C154" s="12" t="s">
        <v>25</v>
      </c>
      <c r="D154" s="39">
        <v>140</v>
      </c>
      <c r="E154" s="12"/>
      <c r="F154" s="18">
        <f t="shared" si="13"/>
        <v>60900</v>
      </c>
      <c r="G154" s="2"/>
      <c r="J154" s="54"/>
    </row>
    <row r="155" spans="1:10" s="1" customFormat="1" x14ac:dyDescent="0.3">
      <c r="A155" s="19" t="s">
        <v>94</v>
      </c>
      <c r="B155" s="11">
        <v>180</v>
      </c>
      <c r="C155" s="12" t="s">
        <v>25</v>
      </c>
      <c r="D155" s="39">
        <v>170</v>
      </c>
      <c r="E155" s="12"/>
      <c r="F155" s="18">
        <f t="shared" si="13"/>
        <v>30600</v>
      </c>
      <c r="G155" s="2"/>
      <c r="J155" s="54"/>
    </row>
    <row r="156" spans="1:10" s="1" customFormat="1" x14ac:dyDescent="0.3">
      <c r="A156" s="19" t="s">
        <v>95</v>
      </c>
      <c r="B156" s="11">
        <v>52</v>
      </c>
      <c r="C156" s="12" t="s">
        <v>81</v>
      </c>
      <c r="D156" s="39">
        <v>90</v>
      </c>
      <c r="E156" s="12"/>
      <c r="F156" s="18">
        <f t="shared" si="13"/>
        <v>4680</v>
      </c>
      <c r="G156" s="2"/>
      <c r="J156" s="54"/>
    </row>
    <row r="157" spans="1:10" s="1" customFormat="1" x14ac:dyDescent="0.3">
      <c r="A157" s="19" t="s">
        <v>54</v>
      </c>
      <c r="B157" s="11">
        <v>20</v>
      </c>
      <c r="C157" s="12" t="s">
        <v>41</v>
      </c>
      <c r="D157" s="39">
        <v>95</v>
      </c>
      <c r="E157" s="12"/>
      <c r="F157" s="18">
        <f t="shared" si="13"/>
        <v>1900</v>
      </c>
      <c r="G157" s="2"/>
      <c r="J157" s="54"/>
    </row>
    <row r="158" spans="1:10" s="1" customFormat="1" x14ac:dyDescent="0.3">
      <c r="A158" s="19" t="s">
        <v>96</v>
      </c>
      <c r="B158" s="11">
        <v>1</v>
      </c>
      <c r="C158" s="12" t="s">
        <v>21</v>
      </c>
      <c r="D158" s="39">
        <v>12000</v>
      </c>
      <c r="E158" s="12"/>
      <c r="F158" s="18">
        <f t="shared" si="13"/>
        <v>12000</v>
      </c>
      <c r="G158" s="2"/>
      <c r="J158" s="54"/>
    </row>
    <row r="159" spans="1:10" s="1" customFormat="1" x14ac:dyDescent="0.3">
      <c r="A159" s="19" t="s">
        <v>97</v>
      </c>
      <c r="B159" s="11">
        <v>15</v>
      </c>
      <c r="C159" s="12" t="s">
        <v>98</v>
      </c>
      <c r="D159" s="39">
        <v>100</v>
      </c>
      <c r="E159" s="12"/>
      <c r="F159" s="18">
        <f t="shared" si="13"/>
        <v>1500</v>
      </c>
      <c r="G159" s="2"/>
      <c r="J159" s="54"/>
    </row>
    <row r="160" spans="1:10" s="1" customFormat="1" x14ac:dyDescent="0.3">
      <c r="A160" s="19"/>
      <c r="B160" s="11"/>
      <c r="C160" s="12"/>
      <c r="D160" s="69" t="s">
        <v>28</v>
      </c>
      <c r="E160" s="29" t="s">
        <v>44</v>
      </c>
      <c r="F160" s="26">
        <f>SUM(F151:F159)</f>
        <v>190080</v>
      </c>
      <c r="G160" s="2"/>
      <c r="J160" s="54"/>
    </row>
    <row r="161" spans="1:10" s="1" customFormat="1" x14ac:dyDescent="0.3">
      <c r="A161" s="17" t="s">
        <v>281</v>
      </c>
      <c r="B161" s="11"/>
      <c r="C161" s="12"/>
      <c r="D161" s="39"/>
      <c r="E161" s="12"/>
      <c r="F161" s="35"/>
      <c r="G161" s="2"/>
      <c r="J161" s="54"/>
    </row>
    <row r="162" spans="1:10" s="1" customFormat="1" x14ac:dyDescent="0.3">
      <c r="A162" s="19" t="s">
        <v>22</v>
      </c>
      <c r="B162" s="11">
        <v>12</v>
      </c>
      <c r="C162" s="12" t="s">
        <v>23</v>
      </c>
      <c r="D162" s="39">
        <v>240</v>
      </c>
      <c r="E162" s="12"/>
      <c r="F162" s="18">
        <f t="shared" ref="F162:F167" si="15">D162*B162</f>
        <v>2880</v>
      </c>
      <c r="G162" s="2"/>
      <c r="J162" s="54"/>
    </row>
    <row r="163" spans="1:10" s="1" customFormat="1" x14ac:dyDescent="0.3">
      <c r="A163" s="19" t="s">
        <v>53</v>
      </c>
      <c r="B163" s="11">
        <v>0.66</v>
      </c>
      <c r="C163" s="12" t="s">
        <v>49</v>
      </c>
      <c r="D163" s="39">
        <v>1500</v>
      </c>
      <c r="E163" s="12"/>
      <c r="F163" s="18">
        <f t="shared" si="15"/>
        <v>990</v>
      </c>
      <c r="G163" s="2"/>
      <c r="J163" s="54"/>
    </row>
    <row r="164" spans="1:10" s="1" customFormat="1" x14ac:dyDescent="0.3">
      <c r="A164" s="19" t="s">
        <v>24</v>
      </c>
      <c r="B164" s="11">
        <v>1.32</v>
      </c>
      <c r="C164" s="12" t="s">
        <v>49</v>
      </c>
      <c r="D164" s="39">
        <v>1500</v>
      </c>
      <c r="E164" s="12"/>
      <c r="F164" s="18">
        <f t="shared" si="15"/>
        <v>1980</v>
      </c>
      <c r="G164" s="2"/>
      <c r="J164" s="54"/>
    </row>
    <row r="165" spans="1:10" s="1" customFormat="1" x14ac:dyDescent="0.3">
      <c r="A165" s="19" t="s">
        <v>56</v>
      </c>
      <c r="B165" s="11">
        <v>13</v>
      </c>
      <c r="C165" s="12" t="s">
        <v>25</v>
      </c>
      <c r="D165" s="39">
        <v>330</v>
      </c>
      <c r="E165" s="12"/>
      <c r="F165" s="18">
        <f t="shared" si="15"/>
        <v>4290</v>
      </c>
      <c r="G165" s="2"/>
      <c r="J165" s="54"/>
    </row>
    <row r="166" spans="1:10" s="1" customFormat="1" x14ac:dyDescent="0.3">
      <c r="A166" s="19" t="s">
        <v>99</v>
      </c>
      <c r="B166" s="11">
        <v>8</v>
      </c>
      <c r="C166" s="12" t="s">
        <v>49</v>
      </c>
      <c r="D166" s="39">
        <v>150</v>
      </c>
      <c r="E166" s="12"/>
      <c r="F166" s="18">
        <f t="shared" si="15"/>
        <v>1200</v>
      </c>
      <c r="G166" s="2"/>
      <c r="J166" s="54"/>
    </row>
    <row r="167" spans="1:10" s="1" customFormat="1" x14ac:dyDescent="0.3">
      <c r="A167" s="19" t="s">
        <v>100</v>
      </c>
      <c r="B167" s="11">
        <v>8</v>
      </c>
      <c r="C167" s="12" t="s">
        <v>101</v>
      </c>
      <c r="D167" s="39">
        <v>300</v>
      </c>
      <c r="E167" s="12"/>
      <c r="F167" s="18">
        <f t="shared" si="15"/>
        <v>2400</v>
      </c>
      <c r="G167" s="2"/>
      <c r="J167" s="54"/>
    </row>
    <row r="168" spans="1:10" s="1" customFormat="1" x14ac:dyDescent="0.3">
      <c r="A168" s="19"/>
      <c r="B168" s="11"/>
      <c r="C168" s="12"/>
      <c r="D168" s="69" t="s">
        <v>28</v>
      </c>
      <c r="E168" s="29" t="s">
        <v>44</v>
      </c>
      <c r="F168" s="26">
        <f>SUM(F162:F167)</f>
        <v>13740</v>
      </c>
      <c r="G168" s="2"/>
      <c r="J168" s="54"/>
    </row>
    <row r="169" spans="1:10" s="1" customFormat="1" x14ac:dyDescent="0.3">
      <c r="A169" s="17" t="s">
        <v>282</v>
      </c>
      <c r="B169" s="11"/>
      <c r="C169" s="12"/>
      <c r="D169" s="39"/>
      <c r="E169" s="12"/>
      <c r="F169" s="35"/>
      <c r="G169" s="2"/>
      <c r="J169" s="54"/>
    </row>
    <row r="170" spans="1:10" s="1" customFormat="1" x14ac:dyDescent="0.3">
      <c r="A170" s="19" t="s">
        <v>43</v>
      </c>
      <c r="B170" s="11">
        <v>6400</v>
      </c>
      <c r="C170" s="12" t="s">
        <v>25</v>
      </c>
      <c r="D170" s="39">
        <v>18</v>
      </c>
      <c r="E170" s="12"/>
      <c r="F170" s="18">
        <f t="shared" ref="F170" si="16">D170*B170</f>
        <v>115200</v>
      </c>
      <c r="G170" s="2"/>
      <c r="J170" s="54"/>
    </row>
    <row r="171" spans="1:10" s="1" customFormat="1" x14ac:dyDescent="0.3">
      <c r="A171" s="19" t="s">
        <v>22</v>
      </c>
      <c r="B171" s="11">
        <v>406</v>
      </c>
      <c r="C171" s="12" t="s">
        <v>23</v>
      </c>
      <c r="D171" s="39">
        <v>240</v>
      </c>
      <c r="E171" s="12"/>
      <c r="F171" s="18">
        <f t="shared" ref="F171:F176" si="17">D171*B171</f>
        <v>97440</v>
      </c>
      <c r="G171" s="2"/>
      <c r="J171" s="54"/>
    </row>
    <row r="172" spans="1:10" s="1" customFormat="1" x14ac:dyDescent="0.3">
      <c r="A172" s="19" t="s">
        <v>53</v>
      </c>
      <c r="B172" s="11">
        <v>32</v>
      </c>
      <c r="C172" s="12" t="s">
        <v>49</v>
      </c>
      <c r="D172" s="39">
        <v>1500</v>
      </c>
      <c r="E172" s="12"/>
      <c r="F172" s="18">
        <f t="shared" si="17"/>
        <v>48000</v>
      </c>
      <c r="G172" s="2"/>
      <c r="J172" s="54"/>
    </row>
    <row r="173" spans="1:10" s="1" customFormat="1" x14ac:dyDescent="0.3">
      <c r="A173" s="19" t="s">
        <v>24</v>
      </c>
      <c r="B173" s="11">
        <v>1.28</v>
      </c>
      <c r="C173" s="12" t="s">
        <v>49</v>
      </c>
      <c r="D173" s="39">
        <v>1500</v>
      </c>
      <c r="E173" s="12"/>
      <c r="F173" s="18">
        <f t="shared" ref="F173" si="18">D173*B173</f>
        <v>1920</v>
      </c>
      <c r="G173" s="2"/>
      <c r="J173" s="54"/>
    </row>
    <row r="174" spans="1:10" s="1" customFormat="1" x14ac:dyDescent="0.3">
      <c r="A174" s="19" t="s">
        <v>90</v>
      </c>
      <c r="B174" s="11">
        <v>61</v>
      </c>
      <c r="C174" s="12" t="s">
        <v>25</v>
      </c>
      <c r="D174" s="39">
        <v>330</v>
      </c>
      <c r="E174" s="12"/>
      <c r="F174" s="18">
        <f t="shared" si="17"/>
        <v>20130</v>
      </c>
      <c r="G174" s="2"/>
      <c r="J174" s="54"/>
    </row>
    <row r="175" spans="1:10" s="1" customFormat="1" x14ac:dyDescent="0.3">
      <c r="A175" s="19" t="s">
        <v>89</v>
      </c>
      <c r="B175" s="11">
        <v>88</v>
      </c>
      <c r="C175" s="12" t="s">
        <v>25</v>
      </c>
      <c r="D175" s="39">
        <v>230</v>
      </c>
      <c r="E175" s="12"/>
      <c r="F175" s="18">
        <f t="shared" si="17"/>
        <v>20240</v>
      </c>
      <c r="G175" s="2"/>
      <c r="J175" s="54"/>
    </row>
    <row r="176" spans="1:10" s="1" customFormat="1" x14ac:dyDescent="0.3">
      <c r="A176" s="19" t="s">
        <v>54</v>
      </c>
      <c r="B176" s="11">
        <v>17</v>
      </c>
      <c r="C176" s="12" t="s">
        <v>41</v>
      </c>
      <c r="D176" s="39">
        <v>95</v>
      </c>
      <c r="E176" s="12"/>
      <c r="F176" s="18">
        <f t="shared" si="17"/>
        <v>1615</v>
      </c>
      <c r="G176" s="2"/>
      <c r="J176" s="54"/>
    </row>
    <row r="177" spans="1:13" s="1" customFormat="1" x14ac:dyDescent="0.3">
      <c r="A177" s="19"/>
      <c r="B177" s="11"/>
      <c r="C177" s="12"/>
      <c r="D177" s="69" t="s">
        <v>28</v>
      </c>
      <c r="E177" s="29" t="s">
        <v>44</v>
      </c>
      <c r="F177" s="26">
        <f>SUM(F170:F176)</f>
        <v>304545</v>
      </c>
      <c r="G177" s="2"/>
      <c r="J177" s="54"/>
    </row>
    <row r="178" spans="1:13" s="1" customFormat="1" x14ac:dyDescent="0.3">
      <c r="A178" s="17" t="s">
        <v>283</v>
      </c>
      <c r="B178" s="11"/>
      <c r="C178" s="12"/>
      <c r="D178" s="39"/>
      <c r="E178" s="12"/>
      <c r="F178" s="35"/>
      <c r="G178" s="2"/>
      <c r="J178" s="54"/>
    </row>
    <row r="179" spans="1:13" s="1" customFormat="1" x14ac:dyDescent="0.3">
      <c r="A179" s="19" t="s">
        <v>22</v>
      </c>
      <c r="B179" s="11">
        <v>54</v>
      </c>
      <c r="C179" s="12" t="s">
        <v>23</v>
      </c>
      <c r="D179" s="39">
        <v>240</v>
      </c>
      <c r="E179" s="12"/>
      <c r="F179" s="18">
        <f t="shared" ref="F179:F184" si="19">D179*B179</f>
        <v>12960</v>
      </c>
      <c r="G179" s="2"/>
      <c r="J179" s="54"/>
    </row>
    <row r="180" spans="1:13" s="1" customFormat="1" x14ac:dyDescent="0.3">
      <c r="A180" s="19" t="s">
        <v>53</v>
      </c>
      <c r="B180" s="11">
        <v>3.52</v>
      </c>
      <c r="C180" s="12" t="s">
        <v>49</v>
      </c>
      <c r="D180" s="39">
        <v>1500</v>
      </c>
      <c r="E180" s="12"/>
      <c r="F180" s="18">
        <f t="shared" si="19"/>
        <v>5280</v>
      </c>
      <c r="G180" s="2"/>
      <c r="J180" s="54"/>
    </row>
    <row r="181" spans="1:13" s="1" customFormat="1" x14ac:dyDescent="0.3">
      <c r="A181" s="19" t="s">
        <v>24</v>
      </c>
      <c r="B181" s="11">
        <v>4.04</v>
      </c>
      <c r="C181" s="12" t="s">
        <v>49</v>
      </c>
      <c r="D181" s="39">
        <v>1500</v>
      </c>
      <c r="E181" s="12"/>
      <c r="F181" s="18">
        <f t="shared" si="19"/>
        <v>6060</v>
      </c>
      <c r="G181" s="2"/>
      <c r="J181" s="54"/>
    </row>
    <row r="182" spans="1:13" s="1" customFormat="1" x14ac:dyDescent="0.3">
      <c r="A182" s="19" t="s">
        <v>90</v>
      </c>
      <c r="B182" s="11">
        <v>21</v>
      </c>
      <c r="C182" s="12" t="s">
        <v>25</v>
      </c>
      <c r="D182" s="39">
        <v>330</v>
      </c>
      <c r="E182" s="12"/>
      <c r="F182" s="18">
        <f t="shared" si="19"/>
        <v>6930</v>
      </c>
      <c r="G182" s="2"/>
      <c r="J182" s="54"/>
    </row>
    <row r="183" spans="1:13" s="1" customFormat="1" x14ac:dyDescent="0.3">
      <c r="A183" s="19" t="s">
        <v>89</v>
      </c>
      <c r="B183" s="11">
        <v>20</v>
      </c>
      <c r="C183" s="12" t="s">
        <v>25</v>
      </c>
      <c r="D183" s="39">
        <v>230</v>
      </c>
      <c r="E183" s="12"/>
      <c r="F183" s="18">
        <f t="shared" si="19"/>
        <v>4600</v>
      </c>
      <c r="G183" s="2"/>
      <c r="J183" s="54"/>
    </row>
    <row r="184" spans="1:13" s="1" customFormat="1" x14ac:dyDescent="0.3">
      <c r="A184" s="19" t="s">
        <v>54</v>
      </c>
      <c r="B184" s="11">
        <v>6</v>
      </c>
      <c r="C184" s="12" t="s">
        <v>41</v>
      </c>
      <c r="D184" s="39">
        <v>95</v>
      </c>
      <c r="E184" s="12"/>
      <c r="F184" s="18">
        <f t="shared" si="19"/>
        <v>570</v>
      </c>
      <c r="G184" s="2"/>
      <c r="J184" s="54"/>
    </row>
    <row r="185" spans="1:13" s="1" customFormat="1" x14ac:dyDescent="0.3">
      <c r="A185" s="19"/>
      <c r="B185" s="11"/>
      <c r="C185" s="12"/>
      <c r="D185" s="69" t="s">
        <v>28</v>
      </c>
      <c r="E185" s="29" t="s">
        <v>44</v>
      </c>
      <c r="F185" s="26">
        <f>SUM(F179:F184)</f>
        <v>36400</v>
      </c>
      <c r="G185" s="2"/>
      <c r="J185" s="54"/>
    </row>
    <row r="186" spans="1:13" s="1" customFormat="1" x14ac:dyDescent="0.3">
      <c r="A186" s="17" t="s">
        <v>284</v>
      </c>
      <c r="B186" s="11"/>
      <c r="C186" s="12"/>
      <c r="D186" s="39"/>
      <c r="E186" s="12"/>
      <c r="F186" s="35"/>
      <c r="G186" s="2"/>
      <c r="J186" s="54"/>
    </row>
    <row r="187" spans="1:13" s="1" customFormat="1" x14ac:dyDescent="0.3">
      <c r="A187" s="19" t="s">
        <v>22</v>
      </c>
      <c r="B187" s="11">
        <v>2</v>
      </c>
      <c r="C187" s="12" t="s">
        <v>23</v>
      </c>
      <c r="D187" s="39">
        <v>240</v>
      </c>
      <c r="E187" s="12"/>
      <c r="F187" s="18">
        <f t="shared" ref="F187:F191" si="20">D187*B187</f>
        <v>480</v>
      </c>
      <c r="G187" s="2"/>
      <c r="J187" s="54"/>
    </row>
    <row r="188" spans="1:13" s="1" customFormat="1" x14ac:dyDescent="0.3">
      <c r="A188" s="19" t="s">
        <v>53</v>
      </c>
      <c r="B188" s="11">
        <v>0.2</v>
      </c>
      <c r="C188" s="12" t="s">
        <v>49</v>
      </c>
      <c r="D188" s="39">
        <v>1500</v>
      </c>
      <c r="E188" s="12"/>
      <c r="F188" s="18">
        <f t="shared" si="20"/>
        <v>300</v>
      </c>
      <c r="G188" s="2"/>
      <c r="J188" s="54"/>
      <c r="M188" s="56"/>
    </row>
    <row r="189" spans="1:13" s="1" customFormat="1" x14ac:dyDescent="0.3">
      <c r="A189" s="19" t="s">
        <v>24</v>
      </c>
      <c r="B189" s="11">
        <v>0.4</v>
      </c>
      <c r="C189" s="12" t="s">
        <v>49</v>
      </c>
      <c r="D189" s="39">
        <v>1500</v>
      </c>
      <c r="E189" s="12"/>
      <c r="F189" s="18">
        <f t="shared" si="20"/>
        <v>600</v>
      </c>
      <c r="G189" s="2"/>
      <c r="J189" s="54"/>
      <c r="M189" s="56"/>
    </row>
    <row r="190" spans="1:13" s="1" customFormat="1" x14ac:dyDescent="0.3">
      <c r="A190" s="19" t="s">
        <v>89</v>
      </c>
      <c r="B190" s="11">
        <v>4</v>
      </c>
      <c r="C190" s="12" t="s">
        <v>25</v>
      </c>
      <c r="D190" s="39">
        <v>230</v>
      </c>
      <c r="E190" s="12"/>
      <c r="F190" s="18">
        <f t="shared" si="20"/>
        <v>920</v>
      </c>
      <c r="G190" s="2"/>
      <c r="J190" s="54"/>
    </row>
    <row r="191" spans="1:13" s="1" customFormat="1" x14ac:dyDescent="0.3">
      <c r="A191" s="19" t="s">
        <v>54</v>
      </c>
      <c r="B191" s="11">
        <v>1</v>
      </c>
      <c r="C191" s="12" t="s">
        <v>41</v>
      </c>
      <c r="D191" s="39">
        <v>95</v>
      </c>
      <c r="E191" s="12"/>
      <c r="F191" s="18">
        <f t="shared" si="20"/>
        <v>95</v>
      </c>
      <c r="G191" s="2"/>
      <c r="J191" s="54"/>
    </row>
    <row r="192" spans="1:13" s="1" customFormat="1" x14ac:dyDescent="0.3">
      <c r="A192" s="19" t="s">
        <v>103</v>
      </c>
      <c r="B192" s="11">
        <v>18</v>
      </c>
      <c r="C192" s="12" t="s">
        <v>25</v>
      </c>
      <c r="D192" s="39">
        <v>850</v>
      </c>
      <c r="E192" s="12"/>
      <c r="F192" s="18">
        <f t="shared" ref="F192:F197" si="21">D192*B192</f>
        <v>15300</v>
      </c>
      <c r="G192" s="2"/>
      <c r="J192" s="54"/>
    </row>
    <row r="193" spans="1:13" s="1" customFormat="1" x14ac:dyDescent="0.3">
      <c r="A193" s="19" t="s">
        <v>104</v>
      </c>
      <c r="B193" s="11">
        <v>1</v>
      </c>
      <c r="C193" s="12" t="s">
        <v>35</v>
      </c>
      <c r="D193" s="39">
        <v>3800</v>
      </c>
      <c r="E193" s="12"/>
      <c r="F193" s="18">
        <f t="shared" si="21"/>
        <v>3800</v>
      </c>
      <c r="G193" s="2"/>
      <c r="J193" s="54"/>
    </row>
    <row r="194" spans="1:13" s="1" customFormat="1" x14ac:dyDescent="0.3">
      <c r="A194" s="19" t="s">
        <v>105</v>
      </c>
      <c r="B194" s="11">
        <v>30</v>
      </c>
      <c r="C194" s="12" t="s">
        <v>101</v>
      </c>
      <c r="D194" s="39">
        <v>150</v>
      </c>
      <c r="E194" s="12"/>
      <c r="F194" s="18">
        <f t="shared" si="21"/>
        <v>4500</v>
      </c>
      <c r="G194" s="2"/>
      <c r="J194" s="54"/>
    </row>
    <row r="195" spans="1:13" s="1" customFormat="1" x14ac:dyDescent="0.3">
      <c r="A195" s="19" t="s">
        <v>106</v>
      </c>
      <c r="B195" s="11">
        <v>7</v>
      </c>
      <c r="C195" s="12" t="s">
        <v>101</v>
      </c>
      <c r="D195" s="39">
        <v>180</v>
      </c>
      <c r="E195" s="12"/>
      <c r="F195" s="18">
        <f t="shared" si="21"/>
        <v>1260</v>
      </c>
      <c r="G195" s="2"/>
      <c r="J195" s="54"/>
    </row>
    <row r="196" spans="1:13" s="1" customFormat="1" x14ac:dyDescent="0.3">
      <c r="A196" s="19" t="s">
        <v>107</v>
      </c>
      <c r="B196" s="11">
        <v>45</v>
      </c>
      <c r="C196" s="12" t="s">
        <v>25</v>
      </c>
      <c r="D196" s="39">
        <v>75</v>
      </c>
      <c r="E196" s="12"/>
      <c r="F196" s="18">
        <f t="shared" si="21"/>
        <v>3375</v>
      </c>
      <c r="G196" s="2"/>
      <c r="J196" s="54"/>
    </row>
    <row r="197" spans="1:13" s="1" customFormat="1" x14ac:dyDescent="0.3">
      <c r="A197" s="19" t="s">
        <v>108</v>
      </c>
      <c r="B197" s="11">
        <v>1</v>
      </c>
      <c r="C197" s="12" t="s">
        <v>21</v>
      </c>
      <c r="D197" s="39">
        <v>800</v>
      </c>
      <c r="E197" s="12"/>
      <c r="F197" s="18">
        <f t="shared" si="21"/>
        <v>800</v>
      </c>
      <c r="G197" s="2"/>
      <c r="J197" s="54"/>
    </row>
    <row r="198" spans="1:13" s="1" customFormat="1" x14ac:dyDescent="0.3">
      <c r="A198" s="19"/>
      <c r="B198" s="11"/>
      <c r="C198" s="12"/>
      <c r="D198" s="69" t="s">
        <v>28</v>
      </c>
      <c r="E198" s="29" t="s">
        <v>44</v>
      </c>
      <c r="F198" s="26">
        <f>SUM(F187:F197)</f>
        <v>31430</v>
      </c>
      <c r="G198" s="2"/>
      <c r="J198" s="54"/>
    </row>
    <row r="199" spans="1:13" s="1" customFormat="1" x14ac:dyDescent="0.3">
      <c r="A199" s="17" t="s">
        <v>285</v>
      </c>
      <c r="B199" s="11"/>
      <c r="C199" s="12"/>
      <c r="D199" s="39"/>
      <c r="E199" s="12"/>
      <c r="F199" s="35"/>
      <c r="G199" s="2"/>
      <c r="J199" s="54"/>
    </row>
    <row r="200" spans="1:13" s="1" customFormat="1" x14ac:dyDescent="0.3">
      <c r="A200" s="19" t="s">
        <v>109</v>
      </c>
      <c r="B200" s="11">
        <v>4</v>
      </c>
      <c r="C200" s="12" t="s">
        <v>25</v>
      </c>
      <c r="D200" s="39">
        <v>6000</v>
      </c>
      <c r="E200" s="12"/>
      <c r="F200" s="18">
        <f t="shared" ref="F200:F204" si="22">D200*B200</f>
        <v>24000</v>
      </c>
      <c r="G200" s="2"/>
      <c r="J200" s="54"/>
    </row>
    <row r="201" spans="1:13" s="1" customFormat="1" x14ac:dyDescent="0.3">
      <c r="A201" s="19" t="s">
        <v>110</v>
      </c>
      <c r="B201" s="11">
        <v>4</v>
      </c>
      <c r="C201" s="12" t="s">
        <v>25</v>
      </c>
      <c r="D201" s="39">
        <v>1200</v>
      </c>
      <c r="E201" s="12"/>
      <c r="F201" s="18">
        <f t="shared" si="22"/>
        <v>4800</v>
      </c>
      <c r="G201" s="2"/>
      <c r="J201" s="54"/>
    </row>
    <row r="202" spans="1:13" s="1" customFormat="1" x14ac:dyDescent="0.3">
      <c r="A202" s="19" t="s">
        <v>111</v>
      </c>
      <c r="B202" s="11">
        <v>7</v>
      </c>
      <c r="C202" s="12" t="s">
        <v>25</v>
      </c>
      <c r="D202" s="39">
        <v>750</v>
      </c>
      <c r="E202" s="12"/>
      <c r="F202" s="18">
        <f t="shared" si="22"/>
        <v>5250</v>
      </c>
      <c r="G202" s="2"/>
      <c r="J202" s="54"/>
    </row>
    <row r="203" spans="1:13" s="1" customFormat="1" x14ac:dyDescent="0.3">
      <c r="A203" s="19" t="s">
        <v>112</v>
      </c>
      <c r="B203" s="11">
        <v>14</v>
      </c>
      <c r="C203" s="12" t="s">
        <v>25</v>
      </c>
      <c r="D203" s="39">
        <v>660</v>
      </c>
      <c r="E203" s="12"/>
      <c r="F203" s="18">
        <f t="shared" si="22"/>
        <v>9240</v>
      </c>
      <c r="G203" s="2"/>
      <c r="J203" s="54"/>
    </row>
    <row r="204" spans="1:13" s="1" customFormat="1" x14ac:dyDescent="0.3">
      <c r="A204" s="19" t="s">
        <v>113</v>
      </c>
      <c r="B204" s="11">
        <v>4</v>
      </c>
      <c r="C204" s="12" t="s">
        <v>25</v>
      </c>
      <c r="D204" s="39">
        <v>1200</v>
      </c>
      <c r="E204" s="12"/>
      <c r="F204" s="18">
        <f t="shared" si="22"/>
        <v>4800</v>
      </c>
      <c r="G204" s="2"/>
      <c r="J204" s="54"/>
    </row>
    <row r="205" spans="1:13" s="1" customFormat="1" x14ac:dyDescent="0.3">
      <c r="A205" s="19"/>
      <c r="B205" s="11"/>
      <c r="C205" s="12"/>
      <c r="D205" s="69" t="s">
        <v>28</v>
      </c>
      <c r="E205" s="29" t="s">
        <v>44</v>
      </c>
      <c r="F205" s="26">
        <f>SUM(F200:F204)</f>
        <v>48090</v>
      </c>
      <c r="G205" s="2"/>
      <c r="J205" s="54"/>
    </row>
    <row r="206" spans="1:13" s="1" customFormat="1" x14ac:dyDescent="0.3">
      <c r="A206" s="17" t="s">
        <v>286</v>
      </c>
      <c r="B206" s="11"/>
      <c r="C206" s="12"/>
      <c r="D206" s="39"/>
      <c r="E206" s="12"/>
      <c r="F206" s="35"/>
      <c r="G206" s="2"/>
      <c r="J206" s="54"/>
    </row>
    <row r="207" spans="1:13" s="1" customFormat="1" x14ac:dyDescent="0.3">
      <c r="A207" s="19" t="s">
        <v>114</v>
      </c>
      <c r="B207" s="11">
        <v>17</v>
      </c>
      <c r="C207" s="12" t="s">
        <v>25</v>
      </c>
      <c r="D207" s="39">
        <v>867</v>
      </c>
      <c r="E207" s="12"/>
      <c r="F207" s="18">
        <f t="shared" ref="F207:F217" si="23">D207*B207</f>
        <v>14739</v>
      </c>
      <c r="G207" s="2"/>
      <c r="J207" s="54"/>
    </row>
    <row r="208" spans="1:13" s="1" customFormat="1" x14ac:dyDescent="0.3">
      <c r="A208" s="19" t="s">
        <v>121</v>
      </c>
      <c r="B208" s="11">
        <v>7</v>
      </c>
      <c r="C208" s="12" t="s">
        <v>25</v>
      </c>
      <c r="D208" s="39">
        <v>4485</v>
      </c>
      <c r="E208" s="12"/>
      <c r="F208" s="18">
        <f t="shared" si="23"/>
        <v>31395</v>
      </c>
      <c r="G208" s="2"/>
      <c r="J208" s="54"/>
      <c r="M208" s="56"/>
    </row>
    <row r="209" spans="1:13" s="1" customFormat="1" x14ac:dyDescent="0.3">
      <c r="A209" s="19" t="s">
        <v>122</v>
      </c>
      <c r="B209" s="11">
        <v>25</v>
      </c>
      <c r="C209" s="12" t="s">
        <v>25</v>
      </c>
      <c r="D209" s="39">
        <v>406</v>
      </c>
      <c r="E209" s="12"/>
      <c r="F209" s="18">
        <f t="shared" si="23"/>
        <v>10150</v>
      </c>
      <c r="G209" s="2"/>
      <c r="J209" s="54"/>
      <c r="M209" s="56"/>
    </row>
    <row r="210" spans="1:13" s="1" customFormat="1" x14ac:dyDescent="0.3">
      <c r="A210" s="19" t="s">
        <v>123</v>
      </c>
      <c r="B210" s="11">
        <v>7</v>
      </c>
      <c r="C210" s="12" t="s">
        <v>25</v>
      </c>
      <c r="D210" s="39">
        <v>1650</v>
      </c>
      <c r="E210" s="12"/>
      <c r="F210" s="18">
        <f t="shared" si="23"/>
        <v>11550</v>
      </c>
      <c r="G210" s="2"/>
      <c r="J210" s="54"/>
    </row>
    <row r="211" spans="1:13" s="1" customFormat="1" x14ac:dyDescent="0.3">
      <c r="A211" s="19" t="s">
        <v>115</v>
      </c>
      <c r="B211" s="11">
        <v>5</v>
      </c>
      <c r="C211" s="12" t="s">
        <v>25</v>
      </c>
      <c r="D211" s="39">
        <v>205</v>
      </c>
      <c r="E211" s="12"/>
      <c r="F211" s="18">
        <f t="shared" si="23"/>
        <v>1025</v>
      </c>
      <c r="G211" s="2"/>
      <c r="J211" s="54"/>
    </row>
    <row r="212" spans="1:13" s="1" customFormat="1" x14ac:dyDescent="0.3">
      <c r="A212" s="19" t="s">
        <v>124</v>
      </c>
      <c r="B212" s="11">
        <v>6</v>
      </c>
      <c r="C212" s="12" t="s">
        <v>25</v>
      </c>
      <c r="D212" s="39">
        <v>550</v>
      </c>
      <c r="E212" s="12"/>
      <c r="F212" s="18">
        <f t="shared" si="23"/>
        <v>3300</v>
      </c>
      <c r="G212" s="2"/>
      <c r="J212" s="54"/>
    </row>
    <row r="213" spans="1:13" s="1" customFormat="1" x14ac:dyDescent="0.3">
      <c r="A213" s="19" t="s">
        <v>125</v>
      </c>
      <c r="B213" s="11">
        <v>8</v>
      </c>
      <c r="C213" s="12" t="s">
        <v>25</v>
      </c>
      <c r="D213" s="39">
        <v>550</v>
      </c>
      <c r="E213" s="12"/>
      <c r="F213" s="18">
        <f t="shared" si="23"/>
        <v>4400</v>
      </c>
      <c r="G213" s="2"/>
      <c r="J213" s="54"/>
    </row>
    <row r="214" spans="1:13" s="1" customFormat="1" x14ac:dyDescent="0.3">
      <c r="A214" s="19" t="s">
        <v>126</v>
      </c>
      <c r="B214" s="11">
        <v>3</v>
      </c>
      <c r="C214" s="12" t="s">
        <v>25</v>
      </c>
      <c r="D214" s="39">
        <v>550</v>
      </c>
      <c r="E214" s="12"/>
      <c r="F214" s="18">
        <f t="shared" si="23"/>
        <v>1650</v>
      </c>
      <c r="G214" s="2"/>
      <c r="J214" s="54"/>
    </row>
    <row r="215" spans="1:13" s="1" customFormat="1" x14ac:dyDescent="0.3">
      <c r="A215" s="19" t="s">
        <v>127</v>
      </c>
      <c r="B215" s="11">
        <v>85</v>
      </c>
      <c r="C215" s="12" t="s">
        <v>116</v>
      </c>
      <c r="D215" s="39">
        <v>90</v>
      </c>
      <c r="E215" s="12"/>
      <c r="F215" s="18">
        <f t="shared" si="23"/>
        <v>7650</v>
      </c>
      <c r="G215" s="2"/>
      <c r="J215" s="54"/>
    </row>
    <row r="216" spans="1:13" s="1" customFormat="1" x14ac:dyDescent="0.3">
      <c r="A216" s="19" t="s">
        <v>128</v>
      </c>
      <c r="B216" s="11">
        <v>16</v>
      </c>
      <c r="C216" s="12" t="s">
        <v>81</v>
      </c>
      <c r="D216" s="39">
        <v>180</v>
      </c>
      <c r="E216" s="12"/>
      <c r="F216" s="18">
        <f t="shared" si="23"/>
        <v>2880</v>
      </c>
      <c r="G216" s="2"/>
      <c r="J216" s="54"/>
    </row>
    <row r="217" spans="1:13" s="1" customFormat="1" x14ac:dyDescent="0.3">
      <c r="A217" s="19" t="s">
        <v>129</v>
      </c>
      <c r="B217" s="11">
        <v>420</v>
      </c>
      <c r="C217" s="12" t="s">
        <v>25</v>
      </c>
      <c r="D217" s="39">
        <v>2</v>
      </c>
      <c r="E217" s="12"/>
      <c r="F217" s="18">
        <f t="shared" si="23"/>
        <v>840</v>
      </c>
      <c r="G217" s="2"/>
      <c r="J217" s="54"/>
    </row>
    <row r="218" spans="1:13" s="1" customFormat="1" x14ac:dyDescent="0.3">
      <c r="A218" s="19" t="s">
        <v>130</v>
      </c>
      <c r="B218" s="11">
        <v>350</v>
      </c>
      <c r="C218" s="12" t="s">
        <v>25</v>
      </c>
      <c r="D218" s="39">
        <v>2</v>
      </c>
      <c r="E218" s="12"/>
      <c r="F218" s="18">
        <f t="shared" ref="F218:F225" si="24">D218*B218</f>
        <v>700</v>
      </c>
      <c r="G218" s="2"/>
      <c r="J218" s="54"/>
      <c r="M218" s="56"/>
    </row>
    <row r="219" spans="1:13" s="1" customFormat="1" x14ac:dyDescent="0.3">
      <c r="A219" s="19" t="s">
        <v>117</v>
      </c>
      <c r="B219" s="11">
        <v>1</v>
      </c>
      <c r="C219" s="12" t="s">
        <v>25</v>
      </c>
      <c r="D219" s="39">
        <v>300</v>
      </c>
      <c r="E219" s="12"/>
      <c r="F219" s="18">
        <f t="shared" si="24"/>
        <v>300</v>
      </c>
      <c r="G219" s="2"/>
      <c r="J219" s="54"/>
      <c r="M219" s="56"/>
    </row>
    <row r="220" spans="1:13" s="1" customFormat="1" x14ac:dyDescent="0.3">
      <c r="A220" s="19" t="s">
        <v>118</v>
      </c>
      <c r="B220" s="11">
        <v>1</v>
      </c>
      <c r="C220" s="12" t="s">
        <v>25</v>
      </c>
      <c r="D220" s="39">
        <v>75</v>
      </c>
      <c r="E220" s="12"/>
      <c r="F220" s="18">
        <f t="shared" si="24"/>
        <v>75</v>
      </c>
      <c r="G220" s="2"/>
      <c r="J220" s="54"/>
    </row>
    <row r="221" spans="1:13" s="1" customFormat="1" x14ac:dyDescent="0.3">
      <c r="A221" s="19" t="s">
        <v>119</v>
      </c>
      <c r="B221" s="11">
        <v>1</v>
      </c>
      <c r="C221" s="12" t="s">
        <v>25</v>
      </c>
      <c r="D221" s="39">
        <v>40</v>
      </c>
      <c r="E221" s="12"/>
      <c r="F221" s="18">
        <f t="shared" si="24"/>
        <v>40</v>
      </c>
      <c r="G221" s="2"/>
      <c r="J221" s="54"/>
    </row>
    <row r="222" spans="1:13" s="1" customFormat="1" x14ac:dyDescent="0.3">
      <c r="A222" s="19" t="s">
        <v>131</v>
      </c>
      <c r="B222" s="11">
        <v>3</v>
      </c>
      <c r="C222" s="12" t="s">
        <v>25</v>
      </c>
      <c r="D222" s="39">
        <v>120</v>
      </c>
      <c r="E222" s="12"/>
      <c r="F222" s="18">
        <f t="shared" si="24"/>
        <v>360</v>
      </c>
      <c r="G222" s="2"/>
      <c r="J222" s="54"/>
    </row>
    <row r="223" spans="1:13" s="1" customFormat="1" x14ac:dyDescent="0.3">
      <c r="A223" s="19" t="s">
        <v>132</v>
      </c>
      <c r="B223" s="11">
        <v>14</v>
      </c>
      <c r="C223" s="12" t="s">
        <v>25</v>
      </c>
      <c r="D223" s="39">
        <v>80</v>
      </c>
      <c r="E223" s="12"/>
      <c r="F223" s="18">
        <f t="shared" si="24"/>
        <v>1120</v>
      </c>
      <c r="G223" s="2"/>
      <c r="J223" s="54"/>
    </row>
    <row r="224" spans="1:13" s="1" customFormat="1" x14ac:dyDescent="0.3">
      <c r="A224" s="19" t="s">
        <v>120</v>
      </c>
      <c r="B224" s="11">
        <v>2</v>
      </c>
      <c r="C224" s="12" t="s">
        <v>25</v>
      </c>
      <c r="D224" s="39">
        <v>647</v>
      </c>
      <c r="E224" s="12"/>
      <c r="F224" s="18">
        <f t="shared" si="24"/>
        <v>1294</v>
      </c>
      <c r="G224" s="2"/>
      <c r="J224" s="54"/>
    </row>
    <row r="225" spans="1:10" s="1" customFormat="1" x14ac:dyDescent="0.3">
      <c r="A225" s="19" t="s">
        <v>36</v>
      </c>
      <c r="B225" s="11">
        <v>11</v>
      </c>
      <c r="C225" s="12" t="s">
        <v>98</v>
      </c>
      <c r="D225" s="39">
        <v>550</v>
      </c>
      <c r="E225" s="12"/>
      <c r="F225" s="18">
        <f t="shared" si="24"/>
        <v>6050</v>
      </c>
      <c r="G225" s="2"/>
      <c r="J225" s="54"/>
    </row>
    <row r="226" spans="1:10" s="1" customFormat="1" x14ac:dyDescent="0.3">
      <c r="A226" s="19"/>
      <c r="B226" s="11"/>
      <c r="C226" s="12"/>
      <c r="D226" s="69" t="s">
        <v>28</v>
      </c>
      <c r="E226" s="29" t="s">
        <v>44</v>
      </c>
      <c r="F226" s="26">
        <f>SUM(F207:F225)</f>
        <v>99518</v>
      </c>
      <c r="G226" s="2"/>
      <c r="J226" s="54"/>
    </row>
    <row r="227" spans="1:10" s="1" customFormat="1" x14ac:dyDescent="0.3">
      <c r="A227" s="19"/>
      <c r="B227" s="11"/>
      <c r="C227" s="12"/>
      <c r="D227" s="70" t="s">
        <v>45</v>
      </c>
      <c r="E227" s="31" t="s">
        <v>44</v>
      </c>
      <c r="F227" s="36">
        <f>SUM(F226,F205,F198,F185,F177,F168,F160,F149,F135,F122,F115,F107,F99)</f>
        <v>1676676.8</v>
      </c>
      <c r="G227" s="2"/>
      <c r="J227" s="54"/>
    </row>
    <row r="228" spans="1:10" x14ac:dyDescent="0.3">
      <c r="A228" s="21" t="s">
        <v>303</v>
      </c>
      <c r="B228" s="15"/>
      <c r="C228" s="15"/>
      <c r="D228" s="62"/>
      <c r="E228" s="15"/>
      <c r="F228" s="22"/>
    </row>
    <row r="229" spans="1:10" x14ac:dyDescent="0.3">
      <c r="A229" s="21" t="s">
        <v>29</v>
      </c>
      <c r="B229" s="15"/>
      <c r="C229" s="15"/>
      <c r="D229" s="62"/>
      <c r="E229" s="15"/>
      <c r="F229" s="15"/>
    </row>
    <row r="230" spans="1:10" x14ac:dyDescent="0.3">
      <c r="A230" s="10" t="s">
        <v>15</v>
      </c>
      <c r="B230" s="10" t="s">
        <v>16</v>
      </c>
      <c r="C230" s="10" t="s">
        <v>17</v>
      </c>
      <c r="D230" s="68"/>
      <c r="E230" s="101" t="s">
        <v>18</v>
      </c>
      <c r="F230" s="101"/>
    </row>
    <row r="231" spans="1:10" x14ac:dyDescent="0.3">
      <c r="A231" s="28" t="s">
        <v>287</v>
      </c>
      <c r="B231" s="11"/>
      <c r="C231" s="12"/>
      <c r="D231" s="39"/>
      <c r="E231" s="12"/>
      <c r="F231" s="18"/>
    </row>
    <row r="232" spans="1:10" x14ac:dyDescent="0.3">
      <c r="A232" s="19" t="s">
        <v>141</v>
      </c>
      <c r="B232" s="11">
        <v>90</v>
      </c>
      <c r="C232" s="12" t="s">
        <v>116</v>
      </c>
      <c r="D232" s="39">
        <v>65</v>
      </c>
      <c r="E232" s="57"/>
      <c r="F232" s="18">
        <f t="shared" ref="F232:F241" si="25">D232*B232</f>
        <v>5850</v>
      </c>
    </row>
    <row r="233" spans="1:10" x14ac:dyDescent="0.3">
      <c r="A233" s="19" t="s">
        <v>142</v>
      </c>
      <c r="B233" s="11">
        <v>30</v>
      </c>
      <c r="C233" s="12" t="s">
        <v>116</v>
      </c>
      <c r="D233" s="39">
        <v>100</v>
      </c>
      <c r="E233" s="57"/>
      <c r="F233" s="18">
        <f t="shared" si="25"/>
        <v>3000</v>
      </c>
    </row>
    <row r="234" spans="1:10" x14ac:dyDescent="0.3">
      <c r="A234" s="19" t="s">
        <v>143</v>
      </c>
      <c r="B234" s="11">
        <v>20</v>
      </c>
      <c r="C234" s="12" t="s">
        <v>25</v>
      </c>
      <c r="D234" s="39">
        <v>25</v>
      </c>
      <c r="E234" s="57"/>
      <c r="F234" s="18">
        <f t="shared" si="25"/>
        <v>500</v>
      </c>
    </row>
    <row r="235" spans="1:10" x14ac:dyDescent="0.3">
      <c r="A235" s="19" t="s">
        <v>144</v>
      </c>
      <c r="B235" s="11">
        <v>8</v>
      </c>
      <c r="C235" s="12" t="s">
        <v>25</v>
      </c>
      <c r="D235" s="39">
        <v>35</v>
      </c>
      <c r="E235" s="12"/>
      <c r="F235" s="18">
        <f t="shared" si="25"/>
        <v>280</v>
      </c>
    </row>
    <row r="236" spans="1:10" x14ac:dyDescent="0.3">
      <c r="A236" s="19" t="s">
        <v>145</v>
      </c>
      <c r="B236" s="11">
        <v>10</v>
      </c>
      <c r="C236" s="12" t="s">
        <v>25</v>
      </c>
      <c r="D236" s="39">
        <v>30</v>
      </c>
      <c r="E236" s="12"/>
      <c r="F236" s="18">
        <f t="shared" si="25"/>
        <v>300</v>
      </c>
    </row>
    <row r="237" spans="1:10" x14ac:dyDescent="0.3">
      <c r="A237" s="19" t="s">
        <v>146</v>
      </c>
      <c r="B237" s="11">
        <v>4</v>
      </c>
      <c r="C237" s="12" t="s">
        <v>25</v>
      </c>
      <c r="D237" s="39">
        <v>45</v>
      </c>
      <c r="E237" s="12"/>
      <c r="F237" s="18">
        <f t="shared" si="25"/>
        <v>180</v>
      </c>
    </row>
    <row r="238" spans="1:10" x14ac:dyDescent="0.3">
      <c r="A238" s="19" t="s">
        <v>147</v>
      </c>
      <c r="B238" s="11">
        <v>8</v>
      </c>
      <c r="C238" s="12" t="s">
        <v>25</v>
      </c>
      <c r="D238" s="39">
        <v>45</v>
      </c>
      <c r="E238" s="12"/>
      <c r="F238" s="18">
        <f t="shared" si="25"/>
        <v>360</v>
      </c>
    </row>
    <row r="239" spans="1:10" x14ac:dyDescent="0.3">
      <c r="A239" s="19" t="s">
        <v>148</v>
      </c>
      <c r="B239" s="11">
        <v>2</v>
      </c>
      <c r="C239" s="12" t="s">
        <v>25</v>
      </c>
      <c r="D239" s="39">
        <v>350</v>
      </c>
      <c r="E239" s="12"/>
      <c r="F239" s="18">
        <f t="shared" si="25"/>
        <v>700</v>
      </c>
    </row>
    <row r="240" spans="1:10" x14ac:dyDescent="0.3">
      <c r="A240" s="19" t="s">
        <v>149</v>
      </c>
      <c r="B240" s="11">
        <v>4</v>
      </c>
      <c r="C240" s="12" t="s">
        <v>25</v>
      </c>
      <c r="D240" s="39">
        <v>250</v>
      </c>
      <c r="E240" s="57"/>
      <c r="F240" s="18">
        <f t="shared" si="25"/>
        <v>1000</v>
      </c>
    </row>
    <row r="241" spans="1:6" x14ac:dyDescent="0.3">
      <c r="A241" s="19" t="s">
        <v>150</v>
      </c>
      <c r="B241" s="11">
        <v>30</v>
      </c>
      <c r="C241" s="12" t="s">
        <v>25</v>
      </c>
      <c r="D241" s="39">
        <v>10</v>
      </c>
      <c r="E241" s="12"/>
      <c r="F241" s="18">
        <f t="shared" si="25"/>
        <v>300</v>
      </c>
    </row>
    <row r="242" spans="1:6" x14ac:dyDescent="0.3">
      <c r="A242" s="19"/>
      <c r="B242" s="11"/>
      <c r="C242" s="12"/>
      <c r="D242" s="69" t="s">
        <v>28</v>
      </c>
      <c r="E242" s="29" t="s">
        <v>7</v>
      </c>
      <c r="F242" s="24">
        <f>SUM(F232:F241)</f>
        <v>12470</v>
      </c>
    </row>
    <row r="243" spans="1:6" x14ac:dyDescent="0.3">
      <c r="A243" s="28" t="s">
        <v>140</v>
      </c>
      <c r="B243" s="11"/>
      <c r="C243" s="12"/>
      <c r="D243" s="39"/>
      <c r="E243" s="12"/>
      <c r="F243" s="18"/>
    </row>
    <row r="244" spans="1:6" x14ac:dyDescent="0.3">
      <c r="A244" s="19" t="s">
        <v>151</v>
      </c>
      <c r="B244" s="11">
        <v>30</v>
      </c>
      <c r="C244" s="12" t="s">
        <v>116</v>
      </c>
      <c r="D244" s="39">
        <v>360</v>
      </c>
      <c r="E244" s="57"/>
      <c r="F244" s="18">
        <f t="shared" ref="F244:F256" si="26">D244*B244</f>
        <v>10800</v>
      </c>
    </row>
    <row r="245" spans="1:6" x14ac:dyDescent="0.3">
      <c r="A245" s="19" t="s">
        <v>152</v>
      </c>
      <c r="B245" s="11">
        <v>50</v>
      </c>
      <c r="C245" s="12" t="s">
        <v>116</v>
      </c>
      <c r="D245" s="39">
        <v>250</v>
      </c>
      <c r="E245" s="57"/>
      <c r="F245" s="18">
        <f t="shared" si="26"/>
        <v>12500</v>
      </c>
    </row>
    <row r="246" spans="1:6" x14ac:dyDescent="0.3">
      <c r="A246" s="19" t="s">
        <v>153</v>
      </c>
      <c r="B246" s="11">
        <v>40</v>
      </c>
      <c r="C246" s="12" t="s">
        <v>116</v>
      </c>
      <c r="D246" s="39">
        <v>190</v>
      </c>
      <c r="E246" s="57"/>
      <c r="F246" s="18">
        <f t="shared" si="26"/>
        <v>7600</v>
      </c>
    </row>
    <row r="247" spans="1:6" x14ac:dyDescent="0.3">
      <c r="A247" s="19" t="s">
        <v>154</v>
      </c>
      <c r="B247" s="11">
        <v>8</v>
      </c>
      <c r="C247" s="12" t="s">
        <v>25</v>
      </c>
      <c r="D247" s="39">
        <v>150</v>
      </c>
      <c r="E247" s="57"/>
      <c r="F247" s="18">
        <f t="shared" si="26"/>
        <v>1200</v>
      </c>
    </row>
    <row r="248" spans="1:6" x14ac:dyDescent="0.3">
      <c r="A248" s="19" t="s">
        <v>155</v>
      </c>
      <c r="B248" s="11">
        <v>10</v>
      </c>
      <c r="C248" s="12" t="s">
        <v>25</v>
      </c>
      <c r="D248" s="39">
        <v>110</v>
      </c>
      <c r="E248" s="57"/>
      <c r="F248" s="18">
        <f t="shared" si="26"/>
        <v>1100</v>
      </c>
    </row>
    <row r="249" spans="1:6" x14ac:dyDescent="0.3">
      <c r="A249" s="19" t="s">
        <v>156</v>
      </c>
      <c r="B249" s="11">
        <v>12</v>
      </c>
      <c r="C249" s="12" t="s">
        <v>25</v>
      </c>
      <c r="D249" s="39">
        <v>90</v>
      </c>
      <c r="E249" s="57"/>
      <c r="F249" s="18">
        <f t="shared" si="26"/>
        <v>1080</v>
      </c>
    </row>
    <row r="250" spans="1:6" x14ac:dyDescent="0.3">
      <c r="A250" s="19" t="s">
        <v>157</v>
      </c>
      <c r="B250" s="11">
        <v>4</v>
      </c>
      <c r="C250" s="12" t="s">
        <v>25</v>
      </c>
      <c r="D250" s="39">
        <v>220</v>
      </c>
      <c r="E250" s="12"/>
      <c r="F250" s="18">
        <f t="shared" si="26"/>
        <v>880</v>
      </c>
    </row>
    <row r="251" spans="1:6" x14ac:dyDescent="0.3">
      <c r="A251" s="19" t="s">
        <v>158</v>
      </c>
      <c r="B251" s="11">
        <v>6</v>
      </c>
      <c r="C251" s="12" t="s">
        <v>25</v>
      </c>
      <c r="D251" s="39">
        <v>160</v>
      </c>
      <c r="E251" s="12"/>
      <c r="F251" s="18">
        <f t="shared" si="26"/>
        <v>960</v>
      </c>
    </row>
    <row r="252" spans="1:6" x14ac:dyDescent="0.3">
      <c r="A252" s="19" t="s">
        <v>159</v>
      </c>
      <c r="B252" s="11">
        <v>6</v>
      </c>
      <c r="C252" s="12" t="s">
        <v>25</v>
      </c>
      <c r="D252" s="39">
        <v>100</v>
      </c>
      <c r="E252" s="12"/>
      <c r="F252" s="18">
        <f t="shared" si="26"/>
        <v>600</v>
      </c>
    </row>
    <row r="253" spans="1:6" x14ac:dyDescent="0.3">
      <c r="A253" s="19" t="s">
        <v>160</v>
      </c>
      <c r="B253" s="11">
        <v>2</v>
      </c>
      <c r="C253" s="12" t="s">
        <v>25</v>
      </c>
      <c r="D253" s="39">
        <v>320</v>
      </c>
      <c r="E253" s="57"/>
      <c r="F253" s="18">
        <f t="shared" si="26"/>
        <v>640</v>
      </c>
    </row>
    <row r="254" spans="1:6" x14ac:dyDescent="0.3">
      <c r="A254" s="19" t="s">
        <v>161</v>
      </c>
      <c r="B254" s="11">
        <v>2</v>
      </c>
      <c r="C254" s="12" t="s">
        <v>25</v>
      </c>
      <c r="D254" s="39">
        <v>220</v>
      </c>
      <c r="E254" s="57"/>
      <c r="F254" s="18">
        <f t="shared" si="26"/>
        <v>440</v>
      </c>
    </row>
    <row r="255" spans="1:6" x14ac:dyDescent="0.3">
      <c r="A255" s="19" t="s">
        <v>162</v>
      </c>
      <c r="B255" s="11">
        <v>4</v>
      </c>
      <c r="C255" s="12" t="s">
        <v>25</v>
      </c>
      <c r="D255" s="39">
        <v>120</v>
      </c>
      <c r="E255" s="12"/>
      <c r="F255" s="18">
        <f t="shared" si="26"/>
        <v>480</v>
      </c>
    </row>
    <row r="256" spans="1:6" x14ac:dyDescent="0.3">
      <c r="A256" s="19" t="s">
        <v>163</v>
      </c>
      <c r="B256" s="11">
        <v>3</v>
      </c>
      <c r="C256" s="12" t="s">
        <v>25</v>
      </c>
      <c r="D256" s="39">
        <v>550</v>
      </c>
      <c r="E256" s="57"/>
      <c r="F256" s="18">
        <f t="shared" si="26"/>
        <v>1650</v>
      </c>
    </row>
    <row r="257" spans="1:6" x14ac:dyDescent="0.3">
      <c r="A257" s="19" t="s">
        <v>164</v>
      </c>
      <c r="B257" s="11">
        <v>3</v>
      </c>
      <c r="C257" s="12" t="s">
        <v>25</v>
      </c>
      <c r="D257" s="39">
        <v>180</v>
      </c>
      <c r="E257" s="57"/>
      <c r="F257" s="18">
        <f t="shared" ref="F257:F258" si="27">D257*B257</f>
        <v>540</v>
      </c>
    </row>
    <row r="258" spans="1:6" x14ac:dyDescent="0.3">
      <c r="A258" s="19" t="s">
        <v>165</v>
      </c>
      <c r="B258" s="11">
        <v>30</v>
      </c>
      <c r="C258" s="12" t="s">
        <v>116</v>
      </c>
      <c r="D258" s="39">
        <v>190</v>
      </c>
      <c r="E258" s="57"/>
      <c r="F258" s="18">
        <f t="shared" si="27"/>
        <v>5700</v>
      </c>
    </row>
    <row r="259" spans="1:6" x14ac:dyDescent="0.3">
      <c r="A259" s="19"/>
      <c r="B259" s="11"/>
      <c r="C259" s="12"/>
      <c r="D259" s="69" t="s">
        <v>28</v>
      </c>
      <c r="E259" s="29" t="s">
        <v>7</v>
      </c>
      <c r="F259" s="24">
        <f>SUM(F244:F258)</f>
        <v>46170</v>
      </c>
    </row>
    <row r="260" spans="1:6" x14ac:dyDescent="0.3">
      <c r="A260" s="28" t="s">
        <v>288</v>
      </c>
      <c r="B260" s="11"/>
      <c r="C260" s="12"/>
      <c r="D260" s="39"/>
      <c r="E260" s="12"/>
      <c r="F260" s="18"/>
    </row>
    <row r="261" spans="1:6" x14ac:dyDescent="0.3">
      <c r="A261" s="19" t="s">
        <v>166</v>
      </c>
      <c r="B261" s="11">
        <v>20</v>
      </c>
      <c r="C261" s="12" t="s">
        <v>116</v>
      </c>
      <c r="D261" s="39">
        <v>250</v>
      </c>
      <c r="E261" s="57"/>
      <c r="F261" s="18">
        <f t="shared" ref="F261:F262" si="28">D261*B261</f>
        <v>5000</v>
      </c>
    </row>
    <row r="262" spans="1:6" x14ac:dyDescent="0.3">
      <c r="A262" s="19" t="s">
        <v>167</v>
      </c>
      <c r="B262" s="11">
        <v>2</v>
      </c>
      <c r="C262" s="12" t="s">
        <v>25</v>
      </c>
      <c r="D262" s="39">
        <v>600</v>
      </c>
      <c r="E262" s="57"/>
      <c r="F262" s="18">
        <f t="shared" si="28"/>
        <v>1200</v>
      </c>
    </row>
    <row r="263" spans="1:6" x14ac:dyDescent="0.3">
      <c r="A263" s="19"/>
      <c r="B263" s="11"/>
      <c r="C263" s="12"/>
      <c r="D263" s="69" t="s">
        <v>28</v>
      </c>
      <c r="E263" s="29" t="s">
        <v>7</v>
      </c>
      <c r="F263" s="24">
        <f>SUM(F261:F262)</f>
        <v>6200</v>
      </c>
    </row>
    <row r="264" spans="1:6" x14ac:dyDescent="0.3">
      <c r="A264" s="28" t="s">
        <v>289</v>
      </c>
      <c r="B264" s="11"/>
      <c r="C264" s="12"/>
      <c r="D264" s="39"/>
      <c r="E264" s="12"/>
      <c r="F264" s="18"/>
    </row>
    <row r="265" spans="1:6" x14ac:dyDescent="0.3">
      <c r="A265" s="19" t="s">
        <v>168</v>
      </c>
      <c r="B265" s="11">
        <v>4</v>
      </c>
      <c r="C265" s="12" t="s">
        <v>37</v>
      </c>
      <c r="D265" s="39">
        <v>180</v>
      </c>
      <c r="E265" s="57"/>
      <c r="F265" s="18">
        <f t="shared" ref="F265:F268" si="29">D265*B265</f>
        <v>720</v>
      </c>
    </row>
    <row r="266" spans="1:6" x14ac:dyDescent="0.3">
      <c r="A266" s="19" t="s">
        <v>169</v>
      </c>
      <c r="B266" s="11">
        <v>10</v>
      </c>
      <c r="C266" s="12" t="s">
        <v>25</v>
      </c>
      <c r="D266" s="39">
        <v>15</v>
      </c>
      <c r="E266" s="57"/>
      <c r="F266" s="18">
        <f t="shared" si="29"/>
        <v>150</v>
      </c>
    </row>
    <row r="267" spans="1:6" x14ac:dyDescent="0.3">
      <c r="A267" s="19" t="s">
        <v>170</v>
      </c>
      <c r="B267" s="11">
        <v>20</v>
      </c>
      <c r="C267" s="12" t="s">
        <v>25</v>
      </c>
      <c r="D267" s="39">
        <v>20</v>
      </c>
      <c r="E267" s="57"/>
      <c r="F267" s="18">
        <f t="shared" si="29"/>
        <v>400</v>
      </c>
    </row>
    <row r="268" spans="1:6" x14ac:dyDescent="0.3">
      <c r="A268" s="19" t="s">
        <v>171</v>
      </c>
      <c r="B268" s="11">
        <v>1.5</v>
      </c>
      <c r="C268" s="12" t="s">
        <v>49</v>
      </c>
      <c r="D268" s="39">
        <v>1800</v>
      </c>
      <c r="E268" s="12"/>
      <c r="F268" s="18">
        <f t="shared" si="29"/>
        <v>2700</v>
      </c>
    </row>
    <row r="269" spans="1:6" x14ac:dyDescent="0.3">
      <c r="A269" s="19"/>
      <c r="B269" s="11"/>
      <c r="C269" s="12"/>
      <c r="D269" s="69" t="s">
        <v>28</v>
      </c>
      <c r="E269" s="29" t="s">
        <v>7</v>
      </c>
      <c r="F269" s="24">
        <f>SUM(F265:F268)</f>
        <v>3970</v>
      </c>
    </row>
    <row r="270" spans="1:6" x14ac:dyDescent="0.3">
      <c r="A270" s="28" t="s">
        <v>290</v>
      </c>
      <c r="B270" s="11"/>
      <c r="C270" s="12"/>
      <c r="D270" s="39"/>
      <c r="E270" s="12"/>
      <c r="F270" s="18"/>
    </row>
    <row r="271" spans="1:6" x14ac:dyDescent="0.3">
      <c r="A271" s="19" t="s">
        <v>61</v>
      </c>
      <c r="B271" s="11">
        <v>3</v>
      </c>
      <c r="C271" s="12" t="s">
        <v>34</v>
      </c>
      <c r="D271" s="39">
        <v>8500</v>
      </c>
      <c r="E271" s="57"/>
      <c r="F271" s="18">
        <f t="shared" ref="F271:F274" si="30">D271*B271</f>
        <v>25500</v>
      </c>
    </row>
    <row r="272" spans="1:6" x14ac:dyDescent="0.3">
      <c r="A272" s="19" t="s">
        <v>204</v>
      </c>
      <c r="B272" s="11">
        <v>3</v>
      </c>
      <c r="C272" s="12" t="s">
        <v>34</v>
      </c>
      <c r="D272" s="39">
        <v>2550</v>
      </c>
      <c r="E272" s="57"/>
      <c r="F272" s="18">
        <f t="shared" si="30"/>
        <v>7650</v>
      </c>
    </row>
    <row r="273" spans="1:6" x14ac:dyDescent="0.3">
      <c r="A273" s="19" t="s">
        <v>205</v>
      </c>
      <c r="B273" s="11">
        <v>3</v>
      </c>
      <c r="C273" s="12" t="s">
        <v>34</v>
      </c>
      <c r="D273" s="39">
        <v>875</v>
      </c>
      <c r="E273" s="57"/>
      <c r="F273" s="18">
        <f t="shared" si="30"/>
        <v>2625</v>
      </c>
    </row>
    <row r="274" spans="1:6" x14ac:dyDescent="0.3">
      <c r="A274" s="19" t="s">
        <v>40</v>
      </c>
      <c r="B274" s="11">
        <v>3</v>
      </c>
      <c r="C274" s="12" t="s">
        <v>34</v>
      </c>
      <c r="D274" s="39">
        <v>1125</v>
      </c>
      <c r="E274" s="12"/>
      <c r="F274" s="18">
        <f t="shared" si="30"/>
        <v>3375</v>
      </c>
    </row>
    <row r="275" spans="1:6" x14ac:dyDescent="0.3">
      <c r="A275" s="19" t="s">
        <v>206</v>
      </c>
      <c r="B275" s="11">
        <v>2</v>
      </c>
      <c r="C275" s="12" t="s">
        <v>34</v>
      </c>
      <c r="D275" s="39">
        <v>5500</v>
      </c>
      <c r="E275" s="57"/>
      <c r="F275" s="18">
        <f t="shared" ref="F275:F276" si="31">D275*B275</f>
        <v>11000</v>
      </c>
    </row>
    <row r="276" spans="1:6" x14ac:dyDescent="0.3">
      <c r="A276" s="19" t="s">
        <v>207</v>
      </c>
      <c r="B276" s="11">
        <v>3</v>
      </c>
      <c r="C276" s="12" t="s">
        <v>25</v>
      </c>
      <c r="D276" s="39">
        <v>450</v>
      </c>
      <c r="E276" s="12"/>
      <c r="F276" s="18">
        <f t="shared" si="31"/>
        <v>1350</v>
      </c>
    </row>
    <row r="277" spans="1:6" x14ac:dyDescent="0.3">
      <c r="A277" s="19" t="s">
        <v>208</v>
      </c>
      <c r="B277" s="11">
        <v>3</v>
      </c>
      <c r="C277" s="12" t="s">
        <v>25</v>
      </c>
      <c r="D277" s="39">
        <v>2400</v>
      </c>
      <c r="E277" s="12"/>
      <c r="F277" s="18">
        <f t="shared" ref="F277" si="32">D277*B277</f>
        <v>7200</v>
      </c>
    </row>
    <row r="278" spans="1:6" x14ac:dyDescent="0.3">
      <c r="A278" s="19" t="s">
        <v>209</v>
      </c>
      <c r="B278" s="11">
        <v>3</v>
      </c>
      <c r="C278" s="12" t="s">
        <v>25</v>
      </c>
      <c r="D278" s="39">
        <v>315</v>
      </c>
      <c r="E278" s="12"/>
      <c r="F278" s="18">
        <f t="shared" ref="F278" si="33">D278*B278</f>
        <v>945</v>
      </c>
    </row>
    <row r="279" spans="1:6" x14ac:dyDescent="0.3">
      <c r="A279" s="19"/>
      <c r="B279" s="11"/>
      <c r="C279" s="12"/>
      <c r="D279" s="69" t="s">
        <v>28</v>
      </c>
      <c r="E279" s="29" t="s">
        <v>7</v>
      </c>
      <c r="F279" s="24">
        <f>SUM(F271:F278)</f>
        <v>59645</v>
      </c>
    </row>
    <row r="280" spans="1:6" x14ac:dyDescent="0.3">
      <c r="A280" s="28" t="s">
        <v>291</v>
      </c>
      <c r="B280" s="11"/>
      <c r="C280" s="12"/>
      <c r="D280" s="39"/>
      <c r="E280" s="12"/>
      <c r="F280" s="18"/>
    </row>
    <row r="281" spans="1:6" x14ac:dyDescent="0.3">
      <c r="A281" s="19" t="s">
        <v>277</v>
      </c>
      <c r="B281" s="11">
        <v>1</v>
      </c>
      <c r="C281" s="12" t="s">
        <v>211</v>
      </c>
      <c r="D281" s="39">
        <v>20000</v>
      </c>
      <c r="E281" s="57"/>
      <c r="F281" s="18">
        <f t="shared" ref="F281" si="34">D281*B281</f>
        <v>20000</v>
      </c>
    </row>
    <row r="282" spans="1:6" x14ac:dyDescent="0.3">
      <c r="A282" s="19"/>
      <c r="B282" s="11"/>
      <c r="C282" s="12"/>
      <c r="D282" s="69" t="s">
        <v>28</v>
      </c>
      <c r="E282" s="29" t="s">
        <v>7</v>
      </c>
      <c r="F282" s="24">
        <f>SUM(F281:F281)</f>
        <v>20000</v>
      </c>
    </row>
    <row r="283" spans="1:6" ht="13.9" customHeight="1" x14ac:dyDescent="0.3">
      <c r="A283" s="19"/>
      <c r="B283" s="11"/>
      <c r="C283" s="12"/>
      <c r="D283" s="71" t="s">
        <v>20</v>
      </c>
      <c r="E283" s="27" t="s">
        <v>7</v>
      </c>
      <c r="F283" s="20">
        <f>SUM(F269,F263,F259,F242,F279,F282)</f>
        <v>148455</v>
      </c>
    </row>
    <row r="284" spans="1:6" x14ac:dyDescent="0.3">
      <c r="A284" s="21" t="s">
        <v>304</v>
      </c>
      <c r="B284" s="15"/>
      <c r="C284" s="15"/>
      <c r="D284" s="62"/>
      <c r="E284" s="15"/>
      <c r="F284" s="22"/>
    </row>
    <row r="285" spans="1:6" x14ac:dyDescent="0.3">
      <c r="A285" s="21" t="s">
        <v>29</v>
      </c>
      <c r="B285" s="15"/>
      <c r="C285" s="15"/>
      <c r="D285" s="62"/>
      <c r="E285" s="15"/>
      <c r="F285" s="15"/>
    </row>
    <row r="286" spans="1:6" x14ac:dyDescent="0.3">
      <c r="A286" s="10" t="s">
        <v>15</v>
      </c>
      <c r="B286" s="10" t="s">
        <v>16</v>
      </c>
      <c r="C286" s="10" t="s">
        <v>17</v>
      </c>
      <c r="D286" s="68"/>
      <c r="E286" s="101" t="s">
        <v>18</v>
      </c>
      <c r="F286" s="101"/>
    </row>
    <row r="287" spans="1:6" x14ac:dyDescent="0.3">
      <c r="A287" s="28" t="s">
        <v>292</v>
      </c>
      <c r="B287" s="11"/>
      <c r="C287" s="12"/>
      <c r="D287" s="39"/>
      <c r="E287" s="12"/>
      <c r="F287" s="18"/>
    </row>
    <row r="288" spans="1:6" x14ac:dyDescent="0.3">
      <c r="A288" s="19" t="s">
        <v>172</v>
      </c>
      <c r="B288" s="11">
        <v>75</v>
      </c>
      <c r="C288" s="11" t="s">
        <v>25</v>
      </c>
      <c r="D288" s="60">
        <v>375</v>
      </c>
      <c r="E288" s="60"/>
      <c r="F288" s="39">
        <f>D288*B288</f>
        <v>28125</v>
      </c>
    </row>
    <row r="289" spans="1:6" x14ac:dyDescent="0.3">
      <c r="A289" s="19" t="s">
        <v>173</v>
      </c>
      <c r="B289" s="11">
        <v>10</v>
      </c>
      <c r="C289" s="11" t="s">
        <v>25</v>
      </c>
      <c r="D289" s="60">
        <v>465</v>
      </c>
      <c r="E289" s="60"/>
      <c r="F289" s="39">
        <f t="shared" ref="F289:F293" si="35">D289*B289</f>
        <v>4650</v>
      </c>
    </row>
    <row r="290" spans="1:6" x14ac:dyDescent="0.3">
      <c r="A290" s="19" t="s">
        <v>174</v>
      </c>
      <c r="B290" s="11">
        <v>8</v>
      </c>
      <c r="C290" s="11" t="s">
        <v>25</v>
      </c>
      <c r="D290" s="60">
        <v>765</v>
      </c>
      <c r="E290" s="60"/>
      <c r="F290" s="39">
        <f t="shared" si="35"/>
        <v>6120</v>
      </c>
    </row>
    <row r="291" spans="1:6" x14ac:dyDescent="0.3">
      <c r="A291" s="19" t="s">
        <v>175</v>
      </c>
      <c r="B291" s="11">
        <v>1</v>
      </c>
      <c r="C291" s="11" t="s">
        <v>32</v>
      </c>
      <c r="D291" s="60">
        <v>3500</v>
      </c>
      <c r="E291" s="60"/>
      <c r="F291" s="39">
        <f t="shared" si="35"/>
        <v>3500</v>
      </c>
    </row>
    <row r="292" spans="1:6" x14ac:dyDescent="0.3">
      <c r="A292" s="19" t="s">
        <v>176</v>
      </c>
      <c r="B292" s="11">
        <v>20</v>
      </c>
      <c r="C292" s="11" t="s">
        <v>25</v>
      </c>
      <c r="D292" s="60">
        <v>165</v>
      </c>
      <c r="E292" s="60"/>
      <c r="F292" s="39">
        <f t="shared" si="35"/>
        <v>3300</v>
      </c>
    </row>
    <row r="293" spans="1:6" x14ac:dyDescent="0.3">
      <c r="A293" s="19" t="s">
        <v>177</v>
      </c>
      <c r="B293" s="11">
        <v>8</v>
      </c>
      <c r="C293" s="11" t="s">
        <v>25</v>
      </c>
      <c r="D293" s="60">
        <v>185</v>
      </c>
      <c r="E293" s="60"/>
      <c r="F293" s="39">
        <f t="shared" si="35"/>
        <v>1480</v>
      </c>
    </row>
    <row r="294" spans="1:6" x14ac:dyDescent="0.3">
      <c r="A294" s="19"/>
      <c r="B294" s="11"/>
      <c r="C294" s="12"/>
      <c r="D294" s="69" t="s">
        <v>28</v>
      </c>
      <c r="E294" s="29" t="s">
        <v>7</v>
      </c>
      <c r="F294" s="24">
        <f>SUM(F288:F293)</f>
        <v>47175</v>
      </c>
    </row>
    <row r="295" spans="1:6" x14ac:dyDescent="0.3">
      <c r="A295" s="28" t="s">
        <v>178</v>
      </c>
      <c r="B295" s="11"/>
      <c r="C295" s="12"/>
      <c r="D295" s="39"/>
      <c r="E295" s="12"/>
      <c r="F295" s="18"/>
    </row>
    <row r="296" spans="1:6" x14ac:dyDescent="0.3">
      <c r="A296" s="19" t="s">
        <v>179</v>
      </c>
      <c r="B296" s="11">
        <v>23</v>
      </c>
      <c r="C296" s="12" t="s">
        <v>25</v>
      </c>
      <c r="D296" s="60">
        <v>155</v>
      </c>
      <c r="E296" s="57"/>
      <c r="F296" s="18">
        <f t="shared" ref="F296:F298" si="36">D296*B296</f>
        <v>3565</v>
      </c>
    </row>
    <row r="297" spans="1:6" x14ac:dyDescent="0.3">
      <c r="A297" s="19" t="s">
        <v>180</v>
      </c>
      <c r="B297" s="11">
        <v>6</v>
      </c>
      <c r="C297" s="12" t="s">
        <v>34</v>
      </c>
      <c r="D297" s="60">
        <v>255</v>
      </c>
      <c r="E297" s="57"/>
      <c r="F297" s="18">
        <f t="shared" si="36"/>
        <v>1530</v>
      </c>
    </row>
    <row r="298" spans="1:6" x14ac:dyDescent="0.3">
      <c r="A298" s="19" t="s">
        <v>181</v>
      </c>
      <c r="B298" s="11">
        <v>1</v>
      </c>
      <c r="C298" s="12" t="s">
        <v>25</v>
      </c>
      <c r="D298" s="60">
        <v>565</v>
      </c>
      <c r="E298" s="57"/>
      <c r="F298" s="18">
        <f t="shared" si="36"/>
        <v>565</v>
      </c>
    </row>
    <row r="299" spans="1:6" x14ac:dyDescent="0.3">
      <c r="A299" s="19"/>
      <c r="B299" s="11"/>
      <c r="C299" s="12"/>
      <c r="D299" s="69" t="s">
        <v>28</v>
      </c>
      <c r="E299" s="29" t="s">
        <v>7</v>
      </c>
      <c r="F299" s="24">
        <f>SUM(F296:F298)</f>
        <v>5660</v>
      </c>
    </row>
    <row r="300" spans="1:6" x14ac:dyDescent="0.3">
      <c r="A300" s="28" t="s">
        <v>293</v>
      </c>
      <c r="B300" s="11"/>
      <c r="C300" s="12"/>
      <c r="D300" s="39"/>
      <c r="E300" s="12"/>
      <c r="F300" s="18"/>
    </row>
    <row r="301" spans="1:6" x14ac:dyDescent="0.3">
      <c r="A301" s="19" t="s">
        <v>182</v>
      </c>
      <c r="B301" s="11">
        <v>4</v>
      </c>
      <c r="C301" s="11" t="s">
        <v>33</v>
      </c>
      <c r="D301" s="60">
        <v>3800</v>
      </c>
      <c r="E301" s="60"/>
      <c r="F301" s="60">
        <f t="shared" ref="F301:F302" si="37">D301*B301</f>
        <v>15200</v>
      </c>
    </row>
    <row r="302" spans="1:6" x14ac:dyDescent="0.3">
      <c r="A302" s="19" t="s">
        <v>183</v>
      </c>
      <c r="B302" s="11">
        <v>3</v>
      </c>
      <c r="C302" s="11" t="s">
        <v>33</v>
      </c>
      <c r="D302" s="60">
        <v>4200</v>
      </c>
      <c r="E302" s="60"/>
      <c r="F302" s="60">
        <f t="shared" si="37"/>
        <v>12600</v>
      </c>
    </row>
    <row r="303" spans="1:6" x14ac:dyDescent="0.3">
      <c r="A303" s="19" t="s">
        <v>184</v>
      </c>
      <c r="B303" s="11">
        <v>1</v>
      </c>
      <c r="C303" s="11" t="s">
        <v>194</v>
      </c>
      <c r="D303" s="60">
        <v>6800</v>
      </c>
      <c r="E303" s="60"/>
      <c r="F303" s="39">
        <f>D303*B303</f>
        <v>6800</v>
      </c>
    </row>
    <row r="304" spans="1:6" x14ac:dyDescent="0.3">
      <c r="A304" s="19" t="s">
        <v>185</v>
      </c>
      <c r="B304" s="11">
        <v>2</v>
      </c>
      <c r="C304" s="11" t="s">
        <v>33</v>
      </c>
      <c r="D304" s="60">
        <v>3700</v>
      </c>
      <c r="E304" s="60"/>
      <c r="F304" s="39">
        <f t="shared" ref="F304:F310" si="38">D304*B304</f>
        <v>7400</v>
      </c>
    </row>
    <row r="305" spans="1:6" x14ac:dyDescent="0.3">
      <c r="A305" s="19" t="s">
        <v>186</v>
      </c>
      <c r="B305" s="11">
        <v>50</v>
      </c>
      <c r="C305" s="11" t="s">
        <v>25</v>
      </c>
      <c r="D305" s="60">
        <v>65</v>
      </c>
      <c r="E305" s="60"/>
      <c r="F305" s="39">
        <f t="shared" si="38"/>
        <v>3250</v>
      </c>
    </row>
    <row r="306" spans="1:6" x14ac:dyDescent="0.3">
      <c r="A306" s="19" t="s">
        <v>187</v>
      </c>
      <c r="B306" s="11">
        <v>20</v>
      </c>
      <c r="C306" s="11" t="s">
        <v>25</v>
      </c>
      <c r="D306" s="60">
        <v>120</v>
      </c>
      <c r="E306" s="60"/>
      <c r="F306" s="39">
        <f t="shared" si="38"/>
        <v>2400</v>
      </c>
    </row>
    <row r="307" spans="1:6" x14ac:dyDescent="0.3">
      <c r="A307" s="19" t="s">
        <v>188</v>
      </c>
      <c r="B307" s="11">
        <v>40</v>
      </c>
      <c r="C307" s="11" t="s">
        <v>25</v>
      </c>
      <c r="D307" s="60">
        <v>65</v>
      </c>
      <c r="E307" s="60"/>
      <c r="F307" s="39">
        <f t="shared" si="38"/>
        <v>2600</v>
      </c>
    </row>
    <row r="308" spans="1:6" x14ac:dyDescent="0.3">
      <c r="A308" s="19" t="s">
        <v>189</v>
      </c>
      <c r="B308" s="11">
        <v>35</v>
      </c>
      <c r="C308" s="11" t="s">
        <v>25</v>
      </c>
      <c r="D308" s="60">
        <v>45</v>
      </c>
      <c r="E308" s="60"/>
      <c r="F308" s="39">
        <f t="shared" si="38"/>
        <v>1575</v>
      </c>
    </row>
    <row r="309" spans="1:6" x14ac:dyDescent="0.3">
      <c r="A309" s="19" t="s">
        <v>190</v>
      </c>
      <c r="B309" s="11">
        <v>15</v>
      </c>
      <c r="C309" s="11" t="s">
        <v>33</v>
      </c>
      <c r="D309" s="60">
        <v>55</v>
      </c>
      <c r="E309" s="60"/>
      <c r="F309" s="60">
        <f t="shared" si="38"/>
        <v>825</v>
      </c>
    </row>
    <row r="310" spans="1:6" x14ac:dyDescent="0.3">
      <c r="A310" s="19" t="s">
        <v>191</v>
      </c>
      <c r="B310" s="11">
        <v>5</v>
      </c>
      <c r="C310" s="11" t="s">
        <v>195</v>
      </c>
      <c r="D310" s="60">
        <v>120</v>
      </c>
      <c r="E310" s="60"/>
      <c r="F310" s="60">
        <f t="shared" si="38"/>
        <v>600</v>
      </c>
    </row>
    <row r="311" spans="1:6" x14ac:dyDescent="0.3">
      <c r="A311" s="19" t="s">
        <v>192</v>
      </c>
      <c r="B311" s="11">
        <v>1</v>
      </c>
      <c r="C311" s="11" t="s">
        <v>193</v>
      </c>
      <c r="D311" s="60">
        <v>3500</v>
      </c>
      <c r="E311" s="60"/>
      <c r="F311" s="39">
        <f>D311*B311</f>
        <v>3500</v>
      </c>
    </row>
    <row r="312" spans="1:6" x14ac:dyDescent="0.3">
      <c r="A312" s="19"/>
      <c r="B312" s="11"/>
      <c r="C312" s="12"/>
      <c r="D312" s="69" t="s">
        <v>28</v>
      </c>
      <c r="E312" s="29" t="s">
        <v>7</v>
      </c>
      <c r="F312" s="24">
        <f>SUM(F301:F311)</f>
        <v>56750</v>
      </c>
    </row>
    <row r="313" spans="1:6" x14ac:dyDescent="0.3">
      <c r="A313" s="28" t="s">
        <v>294</v>
      </c>
      <c r="B313" s="11"/>
      <c r="C313" s="12"/>
      <c r="D313" s="39"/>
      <c r="E313" s="12"/>
      <c r="F313" s="18"/>
    </row>
    <row r="314" spans="1:6" x14ac:dyDescent="0.3">
      <c r="A314" s="19" t="s">
        <v>196</v>
      </c>
      <c r="B314" s="11">
        <v>1</v>
      </c>
      <c r="C314" s="57" t="s">
        <v>32</v>
      </c>
      <c r="D314" s="60">
        <v>10500</v>
      </c>
      <c r="E314" s="57"/>
      <c r="F314" s="18">
        <f t="shared" ref="F314:F319" si="39">D314*B314</f>
        <v>10500</v>
      </c>
    </row>
    <row r="315" spans="1:6" x14ac:dyDescent="0.3">
      <c r="A315" s="19" t="s">
        <v>197</v>
      </c>
      <c r="B315" s="11">
        <v>6</v>
      </c>
      <c r="C315" s="12" t="s">
        <v>25</v>
      </c>
      <c r="D315" s="60">
        <v>450</v>
      </c>
      <c r="E315" s="57"/>
      <c r="F315" s="18">
        <f t="shared" si="39"/>
        <v>2700</v>
      </c>
    </row>
    <row r="316" spans="1:6" x14ac:dyDescent="0.3">
      <c r="A316" s="19" t="s">
        <v>198</v>
      </c>
      <c r="B316" s="11">
        <v>6</v>
      </c>
      <c r="C316" s="12" t="s">
        <v>25</v>
      </c>
      <c r="D316" s="60">
        <v>500</v>
      </c>
      <c r="E316" s="57"/>
      <c r="F316" s="18">
        <f t="shared" si="39"/>
        <v>3000</v>
      </c>
    </row>
    <row r="317" spans="1:6" x14ac:dyDescent="0.3">
      <c r="A317" s="19" t="s">
        <v>199</v>
      </c>
      <c r="B317" s="11">
        <v>1</v>
      </c>
      <c r="C317" s="12" t="s">
        <v>35</v>
      </c>
      <c r="D317" s="60">
        <v>650</v>
      </c>
      <c r="E317" s="12"/>
      <c r="F317" s="18">
        <f t="shared" si="39"/>
        <v>650</v>
      </c>
    </row>
    <row r="318" spans="1:6" x14ac:dyDescent="0.3">
      <c r="A318" s="19" t="s">
        <v>200</v>
      </c>
      <c r="B318" s="11">
        <v>1</v>
      </c>
      <c r="C318" s="11" t="s">
        <v>35</v>
      </c>
      <c r="D318" s="60">
        <v>600</v>
      </c>
      <c r="E318" s="60"/>
      <c r="F318" s="60">
        <f t="shared" si="39"/>
        <v>600</v>
      </c>
    </row>
    <row r="319" spans="1:6" x14ac:dyDescent="0.3">
      <c r="A319" s="19" t="s">
        <v>201</v>
      </c>
      <c r="B319" s="11">
        <v>1</v>
      </c>
      <c r="C319" s="11" t="s">
        <v>35</v>
      </c>
      <c r="D319" s="60">
        <v>550</v>
      </c>
      <c r="E319" s="60"/>
      <c r="F319" s="60">
        <f t="shared" si="39"/>
        <v>550</v>
      </c>
    </row>
    <row r="320" spans="1:6" x14ac:dyDescent="0.3">
      <c r="A320" s="19" t="s">
        <v>202</v>
      </c>
      <c r="B320" s="11">
        <v>1</v>
      </c>
      <c r="C320" s="11" t="s">
        <v>32</v>
      </c>
      <c r="D320" s="60">
        <v>6500</v>
      </c>
      <c r="E320" s="60"/>
      <c r="F320" s="39">
        <f>D320*B320</f>
        <v>6500</v>
      </c>
    </row>
    <row r="321" spans="1:6" x14ac:dyDescent="0.3">
      <c r="A321" s="19" t="s">
        <v>203</v>
      </c>
      <c r="B321" s="11">
        <v>3</v>
      </c>
      <c r="C321" s="11" t="s">
        <v>34</v>
      </c>
      <c r="D321" s="60">
        <v>3500</v>
      </c>
      <c r="E321" s="60"/>
      <c r="F321" s="39">
        <f t="shared" ref="F321" si="40">D321*B321</f>
        <v>10500</v>
      </c>
    </row>
    <row r="322" spans="1:6" x14ac:dyDescent="0.3">
      <c r="A322" s="19"/>
      <c r="B322" s="11"/>
      <c r="C322" s="12"/>
      <c r="D322" s="69" t="s">
        <v>28</v>
      </c>
      <c r="E322" s="29" t="s">
        <v>7</v>
      </c>
      <c r="F322" s="24">
        <f>SUM(F314:F321)</f>
        <v>35000</v>
      </c>
    </row>
    <row r="323" spans="1:6" ht="13.9" customHeight="1" x14ac:dyDescent="0.3">
      <c r="A323" s="19"/>
      <c r="B323" s="11"/>
      <c r="C323" s="12"/>
      <c r="D323" s="71" t="s">
        <v>20</v>
      </c>
      <c r="E323" s="27" t="s">
        <v>7</v>
      </c>
      <c r="F323" s="20">
        <f>SUM(F322,F312,F299,F294)</f>
        <v>144585</v>
      </c>
    </row>
    <row r="324" spans="1:6" x14ac:dyDescent="0.3">
      <c r="A324" s="21" t="s">
        <v>210</v>
      </c>
      <c r="B324" s="15"/>
      <c r="C324" s="15"/>
      <c r="D324" s="62"/>
      <c r="E324" s="15"/>
      <c r="F324" s="22"/>
    </row>
    <row r="325" spans="1:6" x14ac:dyDescent="0.3">
      <c r="A325" s="21" t="s">
        <v>29</v>
      </c>
      <c r="B325" s="15"/>
      <c r="C325" s="15"/>
      <c r="D325" s="62"/>
      <c r="E325" s="15"/>
      <c r="F325" s="15"/>
    </row>
    <row r="326" spans="1:6" x14ac:dyDescent="0.3">
      <c r="A326" s="10" t="s">
        <v>15</v>
      </c>
      <c r="B326" s="10" t="s">
        <v>16</v>
      </c>
      <c r="C326" s="10" t="s">
        <v>17</v>
      </c>
      <c r="D326" s="68"/>
      <c r="E326" s="101" t="s">
        <v>18</v>
      </c>
      <c r="F326" s="101"/>
    </row>
    <row r="327" spans="1:6" x14ac:dyDescent="0.3">
      <c r="A327" s="28" t="s">
        <v>295</v>
      </c>
      <c r="B327" s="11"/>
      <c r="C327" s="12"/>
      <c r="D327" s="39"/>
      <c r="E327" s="12"/>
      <c r="F327" s="18"/>
    </row>
    <row r="328" spans="1:6" x14ac:dyDescent="0.3">
      <c r="A328" s="19" t="s">
        <v>212</v>
      </c>
      <c r="B328" s="11">
        <v>39</v>
      </c>
      <c r="C328" s="12" t="s">
        <v>213</v>
      </c>
      <c r="D328" s="39">
        <v>1294</v>
      </c>
      <c r="E328" s="12"/>
      <c r="F328" s="18">
        <f t="shared" ref="F328:F338" si="41">D328*B328</f>
        <v>50466</v>
      </c>
    </row>
    <row r="329" spans="1:6" x14ac:dyDescent="0.3">
      <c r="A329" s="19" t="s">
        <v>214</v>
      </c>
      <c r="B329" s="11">
        <v>14</v>
      </c>
      <c r="C329" s="12" t="s">
        <v>25</v>
      </c>
      <c r="D329" s="39">
        <v>148</v>
      </c>
      <c r="E329" s="12"/>
      <c r="F329" s="18">
        <f t="shared" si="41"/>
        <v>2072</v>
      </c>
    </row>
    <row r="330" spans="1:6" x14ac:dyDescent="0.3">
      <c r="A330" s="19" t="s">
        <v>215</v>
      </c>
      <c r="B330" s="11">
        <v>52</v>
      </c>
      <c r="C330" s="12" t="s">
        <v>25</v>
      </c>
      <c r="D330" s="39">
        <v>308</v>
      </c>
      <c r="E330" s="12"/>
      <c r="F330" s="18">
        <f t="shared" si="41"/>
        <v>16016</v>
      </c>
    </row>
    <row r="331" spans="1:6" x14ac:dyDescent="0.3">
      <c r="A331" s="19" t="s">
        <v>216</v>
      </c>
      <c r="B331" s="11">
        <v>16</v>
      </c>
      <c r="C331" s="12" t="s">
        <v>25</v>
      </c>
      <c r="D331" s="39">
        <v>81</v>
      </c>
      <c r="E331" s="12"/>
      <c r="F331" s="18">
        <f t="shared" si="41"/>
        <v>1296</v>
      </c>
    </row>
    <row r="332" spans="1:6" x14ac:dyDescent="0.3">
      <c r="A332" s="19" t="s">
        <v>217</v>
      </c>
      <c r="B332" s="11">
        <v>1</v>
      </c>
      <c r="C332" s="12" t="s">
        <v>218</v>
      </c>
      <c r="D332" s="39">
        <v>750</v>
      </c>
      <c r="E332" s="12"/>
      <c r="F332" s="18">
        <f t="shared" si="41"/>
        <v>750</v>
      </c>
    </row>
    <row r="333" spans="1:6" x14ac:dyDescent="0.3">
      <c r="A333" s="19" t="s">
        <v>219</v>
      </c>
      <c r="B333" s="11">
        <v>2000</v>
      </c>
      <c r="C333" s="12" t="s">
        <v>25</v>
      </c>
      <c r="D333" s="39">
        <v>3</v>
      </c>
      <c r="E333" s="12"/>
      <c r="F333" s="18">
        <f t="shared" ref="F333:F337" si="42">D333*B333</f>
        <v>6000</v>
      </c>
    </row>
    <row r="334" spans="1:6" x14ac:dyDescent="0.3">
      <c r="A334" s="19" t="s">
        <v>220</v>
      </c>
      <c r="B334" s="11">
        <v>200</v>
      </c>
      <c r="C334" s="12" t="s">
        <v>25</v>
      </c>
      <c r="D334" s="39">
        <v>8</v>
      </c>
      <c r="E334" s="12"/>
      <c r="F334" s="18">
        <f t="shared" si="42"/>
        <v>1600</v>
      </c>
    </row>
    <row r="335" spans="1:6" x14ac:dyDescent="0.3">
      <c r="A335" s="19" t="s">
        <v>221</v>
      </c>
      <c r="B335" s="11">
        <v>8</v>
      </c>
      <c r="C335" s="12" t="s">
        <v>33</v>
      </c>
      <c r="D335" s="39">
        <v>3200</v>
      </c>
      <c r="E335" s="12"/>
      <c r="F335" s="18">
        <f t="shared" si="42"/>
        <v>25600</v>
      </c>
    </row>
    <row r="336" spans="1:6" x14ac:dyDescent="0.3">
      <c r="A336" s="19" t="s">
        <v>216</v>
      </c>
      <c r="B336" s="11">
        <v>16</v>
      </c>
      <c r="C336" s="12" t="s">
        <v>25</v>
      </c>
      <c r="D336" s="39">
        <v>81</v>
      </c>
      <c r="E336" s="12"/>
      <c r="F336" s="18">
        <f t="shared" si="42"/>
        <v>1296</v>
      </c>
    </row>
    <row r="337" spans="1:6" x14ac:dyDescent="0.3">
      <c r="A337" s="19" t="s">
        <v>222</v>
      </c>
      <c r="B337" s="11">
        <v>10</v>
      </c>
      <c r="C337" s="12" t="s">
        <v>39</v>
      </c>
      <c r="D337" s="39">
        <v>650</v>
      </c>
      <c r="E337" s="12"/>
      <c r="F337" s="18">
        <f t="shared" si="42"/>
        <v>6500</v>
      </c>
    </row>
    <row r="338" spans="1:6" x14ac:dyDescent="0.3">
      <c r="A338" s="19" t="s">
        <v>223</v>
      </c>
      <c r="B338" s="11">
        <v>20</v>
      </c>
      <c r="C338" s="12" t="s">
        <v>101</v>
      </c>
      <c r="D338" s="39">
        <v>65</v>
      </c>
      <c r="E338" s="12"/>
      <c r="F338" s="18">
        <f t="shared" si="41"/>
        <v>1300</v>
      </c>
    </row>
    <row r="339" spans="1:6" x14ac:dyDescent="0.3">
      <c r="A339" s="19"/>
      <c r="B339" s="11"/>
      <c r="C339" s="12"/>
      <c r="D339" s="69" t="s">
        <v>28</v>
      </c>
      <c r="E339" s="29" t="s">
        <v>7</v>
      </c>
      <c r="F339" s="24">
        <f>SUM(F328:F338)</f>
        <v>112896</v>
      </c>
    </row>
    <row r="340" spans="1:6" x14ac:dyDescent="0.3">
      <c r="A340" s="28" t="s">
        <v>296</v>
      </c>
      <c r="B340" s="11"/>
      <c r="C340" s="12"/>
      <c r="D340" s="39"/>
      <c r="E340" s="12"/>
      <c r="F340" s="18"/>
    </row>
    <row r="341" spans="1:6" x14ac:dyDescent="0.3">
      <c r="A341" s="19" t="s">
        <v>224</v>
      </c>
      <c r="B341" s="11">
        <v>43</v>
      </c>
      <c r="C341" s="12" t="s">
        <v>30</v>
      </c>
      <c r="D341" s="39">
        <v>779</v>
      </c>
      <c r="E341" s="12"/>
      <c r="F341" s="18">
        <f t="shared" ref="F341:F343" si="43">D341*B341</f>
        <v>33497</v>
      </c>
    </row>
    <row r="342" spans="1:6" x14ac:dyDescent="0.3">
      <c r="A342" s="19" t="s">
        <v>225</v>
      </c>
      <c r="B342" s="11">
        <v>25</v>
      </c>
      <c r="C342" s="12" t="s">
        <v>30</v>
      </c>
      <c r="D342" s="39">
        <v>985</v>
      </c>
      <c r="E342" s="12"/>
      <c r="F342" s="18">
        <f t="shared" ref="F342" si="44">D342*B342</f>
        <v>24625</v>
      </c>
    </row>
    <row r="343" spans="1:6" x14ac:dyDescent="0.3">
      <c r="A343" s="19" t="s">
        <v>226</v>
      </c>
      <c r="B343" s="11">
        <v>1</v>
      </c>
      <c r="C343" s="12" t="s">
        <v>21</v>
      </c>
      <c r="D343" s="39">
        <v>10000</v>
      </c>
      <c r="E343" s="12"/>
      <c r="F343" s="18">
        <f t="shared" si="43"/>
        <v>10000</v>
      </c>
    </row>
    <row r="344" spans="1:6" x14ac:dyDescent="0.3">
      <c r="A344" s="19"/>
      <c r="B344" s="11"/>
      <c r="C344" s="12"/>
      <c r="D344" s="69" t="s">
        <v>28</v>
      </c>
      <c r="E344" s="29" t="s">
        <v>7</v>
      </c>
      <c r="F344" s="24">
        <f>SUM(F341:F343)</f>
        <v>68122</v>
      </c>
    </row>
    <row r="345" spans="1:6" x14ac:dyDescent="0.3">
      <c r="A345" s="28" t="s">
        <v>297</v>
      </c>
      <c r="B345" s="11"/>
      <c r="C345" s="12"/>
      <c r="D345" s="39"/>
      <c r="E345" s="12"/>
      <c r="F345" s="18"/>
    </row>
    <row r="346" spans="1:6" x14ac:dyDescent="0.3">
      <c r="A346" s="19" t="s">
        <v>227</v>
      </c>
      <c r="B346" s="11">
        <v>1139</v>
      </c>
      <c r="C346" s="12" t="s">
        <v>25</v>
      </c>
      <c r="D346" s="39">
        <v>265</v>
      </c>
      <c r="E346" s="12"/>
      <c r="F346" s="18">
        <f>D346*B346</f>
        <v>301835</v>
      </c>
    </row>
    <row r="347" spans="1:6" x14ac:dyDescent="0.3">
      <c r="A347" s="19" t="s">
        <v>228</v>
      </c>
      <c r="B347" s="11">
        <v>85</v>
      </c>
      <c r="C347" s="12" t="s">
        <v>23</v>
      </c>
      <c r="D347" s="39">
        <v>450</v>
      </c>
      <c r="E347" s="12"/>
      <c r="F347" s="18">
        <f>D347*B347</f>
        <v>38250</v>
      </c>
    </row>
    <row r="348" spans="1:6" x14ac:dyDescent="0.3">
      <c r="A348" s="19" t="s">
        <v>229</v>
      </c>
      <c r="B348" s="11">
        <v>43</v>
      </c>
      <c r="C348" s="12" t="s">
        <v>195</v>
      </c>
      <c r="D348" s="39">
        <v>180</v>
      </c>
      <c r="E348" s="12"/>
      <c r="F348" s="18">
        <f>D348*B348</f>
        <v>7740</v>
      </c>
    </row>
    <row r="349" spans="1:6" x14ac:dyDescent="0.3">
      <c r="A349" s="19"/>
      <c r="B349" s="11"/>
      <c r="C349" s="12"/>
      <c r="D349" s="69" t="s">
        <v>28</v>
      </c>
      <c r="E349" s="29" t="s">
        <v>7</v>
      </c>
      <c r="F349" s="24">
        <f>SUM(F346:F348)</f>
        <v>347825</v>
      </c>
    </row>
    <row r="350" spans="1:6" x14ac:dyDescent="0.3">
      <c r="A350" s="28" t="s">
        <v>298</v>
      </c>
      <c r="B350" s="11"/>
      <c r="C350" s="12"/>
      <c r="D350" s="39"/>
      <c r="E350" s="12"/>
      <c r="F350" s="18"/>
    </row>
    <row r="351" spans="1:6" x14ac:dyDescent="0.3">
      <c r="A351" s="19" t="s">
        <v>230</v>
      </c>
      <c r="B351" s="11">
        <v>1</v>
      </c>
      <c r="C351" s="12" t="s">
        <v>32</v>
      </c>
      <c r="D351" s="39">
        <v>14500</v>
      </c>
      <c r="E351" s="12"/>
      <c r="F351" s="18">
        <f t="shared" ref="F351:F362" si="45">D351*B351</f>
        <v>14500</v>
      </c>
    </row>
    <row r="352" spans="1:6" x14ac:dyDescent="0.3">
      <c r="A352" s="19" t="s">
        <v>231</v>
      </c>
      <c r="B352" s="11">
        <v>2</v>
      </c>
      <c r="C352" s="12" t="s">
        <v>32</v>
      </c>
      <c r="D352" s="39">
        <v>12000</v>
      </c>
      <c r="E352" s="12"/>
      <c r="F352" s="18">
        <f t="shared" si="45"/>
        <v>24000</v>
      </c>
    </row>
    <row r="353" spans="1:6" x14ac:dyDescent="0.3">
      <c r="A353" s="19" t="s">
        <v>232</v>
      </c>
      <c r="B353" s="11">
        <v>2</v>
      </c>
      <c r="C353" s="12" t="s">
        <v>32</v>
      </c>
      <c r="D353" s="39">
        <v>7000</v>
      </c>
      <c r="E353" s="12"/>
      <c r="F353" s="18">
        <f t="shared" si="45"/>
        <v>14000</v>
      </c>
    </row>
    <row r="354" spans="1:6" x14ac:dyDescent="0.3">
      <c r="A354" s="19" t="s">
        <v>233</v>
      </c>
      <c r="B354" s="11">
        <v>1</v>
      </c>
      <c r="C354" s="12" t="s">
        <v>32</v>
      </c>
      <c r="D354" s="39">
        <v>4500</v>
      </c>
      <c r="E354" s="12"/>
      <c r="F354" s="18">
        <f t="shared" si="45"/>
        <v>4500</v>
      </c>
    </row>
    <row r="355" spans="1:6" x14ac:dyDescent="0.3">
      <c r="A355" s="19" t="s">
        <v>234</v>
      </c>
      <c r="B355" s="11">
        <v>4</v>
      </c>
      <c r="C355" s="12" t="s">
        <v>32</v>
      </c>
      <c r="D355" s="39">
        <v>9000</v>
      </c>
      <c r="E355" s="12"/>
      <c r="F355" s="18">
        <f t="shared" si="45"/>
        <v>36000</v>
      </c>
    </row>
    <row r="356" spans="1:6" x14ac:dyDescent="0.3">
      <c r="A356" s="19" t="s">
        <v>235</v>
      </c>
      <c r="B356" s="11">
        <v>2</v>
      </c>
      <c r="C356" s="12" t="s">
        <v>32</v>
      </c>
      <c r="D356" s="39">
        <v>4800</v>
      </c>
      <c r="E356" s="12"/>
      <c r="F356" s="18">
        <f t="shared" si="45"/>
        <v>9600</v>
      </c>
    </row>
    <row r="357" spans="1:6" x14ac:dyDescent="0.3">
      <c r="A357" s="19" t="s">
        <v>236</v>
      </c>
      <c r="B357" s="11">
        <v>3</v>
      </c>
      <c r="C357" s="12" t="s">
        <v>32</v>
      </c>
      <c r="D357" s="39">
        <v>10500</v>
      </c>
      <c r="E357" s="12"/>
      <c r="F357" s="18">
        <f t="shared" si="45"/>
        <v>31500</v>
      </c>
    </row>
    <row r="358" spans="1:6" x14ac:dyDescent="0.3">
      <c r="A358" s="19" t="s">
        <v>237</v>
      </c>
      <c r="B358" s="11">
        <v>1</v>
      </c>
      <c r="C358" s="12" t="s">
        <v>32</v>
      </c>
      <c r="D358" s="39">
        <v>11500</v>
      </c>
      <c r="E358" s="12"/>
      <c r="F358" s="18">
        <f t="shared" si="45"/>
        <v>11500</v>
      </c>
    </row>
    <row r="359" spans="1:6" x14ac:dyDescent="0.3">
      <c r="A359" s="19" t="s">
        <v>238</v>
      </c>
      <c r="B359" s="11">
        <v>1</v>
      </c>
      <c r="C359" s="12" t="s">
        <v>32</v>
      </c>
      <c r="D359" s="39">
        <v>13500</v>
      </c>
      <c r="E359" s="12"/>
      <c r="F359" s="18">
        <f t="shared" si="45"/>
        <v>13500</v>
      </c>
    </row>
    <row r="360" spans="1:6" x14ac:dyDescent="0.3">
      <c r="A360" s="19" t="s">
        <v>239</v>
      </c>
      <c r="B360" s="11">
        <v>2</v>
      </c>
      <c r="C360" s="12" t="s">
        <v>32</v>
      </c>
      <c r="D360" s="39">
        <v>9500</v>
      </c>
      <c r="E360" s="12"/>
      <c r="F360" s="18">
        <f t="shared" si="45"/>
        <v>19000</v>
      </c>
    </row>
    <row r="361" spans="1:6" x14ac:dyDescent="0.3">
      <c r="A361" s="19" t="s">
        <v>240</v>
      </c>
      <c r="B361" s="11">
        <v>2</v>
      </c>
      <c r="C361" s="12" t="s">
        <v>32</v>
      </c>
      <c r="D361" s="39">
        <v>7000</v>
      </c>
      <c r="E361" s="12"/>
      <c r="F361" s="18">
        <f t="shared" si="45"/>
        <v>14000</v>
      </c>
    </row>
    <row r="362" spans="1:6" ht="27" x14ac:dyDescent="0.3">
      <c r="A362" s="58" t="s">
        <v>241</v>
      </c>
      <c r="B362" s="11">
        <v>1</v>
      </c>
      <c r="C362" s="12" t="s">
        <v>32</v>
      </c>
      <c r="D362" s="39">
        <v>11000</v>
      </c>
      <c r="E362" s="12"/>
      <c r="F362" s="18">
        <f t="shared" si="45"/>
        <v>11000</v>
      </c>
    </row>
    <row r="363" spans="1:6" x14ac:dyDescent="0.3">
      <c r="A363" s="19"/>
      <c r="B363" s="11"/>
      <c r="C363" s="12"/>
      <c r="D363" s="69" t="s">
        <v>28</v>
      </c>
      <c r="E363" s="29" t="s">
        <v>7</v>
      </c>
      <c r="F363" s="24">
        <f>SUM(F351:F362)</f>
        <v>203100</v>
      </c>
    </row>
    <row r="364" spans="1:6" ht="13.9" customHeight="1" x14ac:dyDescent="0.3">
      <c r="A364" s="19"/>
      <c r="B364" s="11"/>
      <c r="C364" s="12"/>
      <c r="D364" s="71" t="s">
        <v>20</v>
      </c>
      <c r="E364" s="27" t="s">
        <v>7</v>
      </c>
      <c r="F364" s="20">
        <f>SUM(F363,F349,F344,F339)</f>
        <v>731943</v>
      </c>
    </row>
    <row r="365" spans="1:6" x14ac:dyDescent="0.3">
      <c r="A365" s="21" t="s">
        <v>305</v>
      </c>
      <c r="B365" s="15"/>
      <c r="C365" s="15"/>
      <c r="D365" s="62"/>
      <c r="E365" s="15"/>
      <c r="F365" s="22"/>
    </row>
    <row r="366" spans="1:6" x14ac:dyDescent="0.3">
      <c r="A366" s="21" t="s">
        <v>29</v>
      </c>
      <c r="B366" s="15"/>
      <c r="C366" s="15"/>
      <c r="D366" s="62"/>
      <c r="E366" s="15"/>
      <c r="F366" s="15"/>
    </row>
    <row r="367" spans="1:6" x14ac:dyDescent="0.3">
      <c r="A367" s="10" t="s">
        <v>15</v>
      </c>
      <c r="B367" s="10" t="s">
        <v>16</v>
      </c>
      <c r="C367" s="10" t="s">
        <v>17</v>
      </c>
      <c r="D367" s="68"/>
      <c r="E367" s="101" t="s">
        <v>18</v>
      </c>
      <c r="F367" s="101"/>
    </row>
    <row r="368" spans="1:6" x14ac:dyDescent="0.3">
      <c r="A368" s="28" t="s">
        <v>299</v>
      </c>
      <c r="B368" s="11"/>
      <c r="C368" s="12"/>
      <c r="D368" s="39"/>
      <c r="E368" s="12"/>
      <c r="F368" s="18"/>
    </row>
    <row r="369" spans="1:6" x14ac:dyDescent="0.3">
      <c r="A369" s="19" t="s">
        <v>242</v>
      </c>
      <c r="B369" s="11">
        <v>18</v>
      </c>
      <c r="C369" s="12" t="s">
        <v>213</v>
      </c>
      <c r="D369" s="39">
        <v>1800</v>
      </c>
      <c r="E369" s="12"/>
      <c r="F369" s="18">
        <f t="shared" ref="F369:F374" si="46">D369*B369</f>
        <v>32400</v>
      </c>
    </row>
    <row r="370" spans="1:6" x14ac:dyDescent="0.3">
      <c r="A370" s="19" t="s">
        <v>243</v>
      </c>
      <c r="B370" s="11">
        <v>14</v>
      </c>
      <c r="C370" s="12" t="s">
        <v>213</v>
      </c>
      <c r="D370" s="39">
        <v>2600</v>
      </c>
      <c r="E370" s="12"/>
      <c r="F370" s="18">
        <f t="shared" si="46"/>
        <v>36400</v>
      </c>
    </row>
    <row r="371" spans="1:6" x14ac:dyDescent="0.3">
      <c r="A371" s="19" t="s">
        <v>244</v>
      </c>
      <c r="B371" s="11">
        <v>10</v>
      </c>
      <c r="C371" s="12" t="s">
        <v>248</v>
      </c>
      <c r="D371" s="39">
        <v>1600</v>
      </c>
      <c r="E371" s="12"/>
      <c r="F371" s="18">
        <f t="shared" si="46"/>
        <v>16000</v>
      </c>
    </row>
    <row r="372" spans="1:6" x14ac:dyDescent="0.3">
      <c r="A372" s="19" t="s">
        <v>245</v>
      </c>
      <c r="B372" s="11">
        <v>30</v>
      </c>
      <c r="C372" s="12" t="s">
        <v>25</v>
      </c>
      <c r="D372" s="39">
        <v>450</v>
      </c>
      <c r="E372" s="12"/>
      <c r="F372" s="18">
        <f t="shared" si="46"/>
        <v>13500</v>
      </c>
    </row>
    <row r="373" spans="1:6" x14ac:dyDescent="0.3">
      <c r="A373" s="19" t="s">
        <v>246</v>
      </c>
      <c r="B373" s="11">
        <v>15</v>
      </c>
      <c r="C373" s="12" t="s">
        <v>25</v>
      </c>
      <c r="D373" s="39">
        <v>250</v>
      </c>
      <c r="E373" s="12"/>
      <c r="F373" s="18">
        <f t="shared" si="46"/>
        <v>3750</v>
      </c>
    </row>
    <row r="374" spans="1:6" x14ac:dyDescent="0.3">
      <c r="A374" s="19" t="s">
        <v>247</v>
      </c>
      <c r="B374" s="11">
        <v>1</v>
      </c>
      <c r="C374" s="12" t="s">
        <v>21</v>
      </c>
      <c r="D374" s="39">
        <v>8000</v>
      </c>
      <c r="E374" s="12"/>
      <c r="F374" s="18">
        <f t="shared" si="46"/>
        <v>8000</v>
      </c>
    </row>
    <row r="375" spans="1:6" x14ac:dyDescent="0.3">
      <c r="A375" s="19"/>
      <c r="B375" s="11"/>
      <c r="C375" s="12"/>
      <c r="D375" s="69" t="s">
        <v>28</v>
      </c>
      <c r="E375" s="29" t="s">
        <v>7</v>
      </c>
      <c r="F375" s="24">
        <f>SUM(F369:F374)</f>
        <v>110050</v>
      </c>
    </row>
    <row r="376" spans="1:6" x14ac:dyDescent="0.3">
      <c r="A376" s="28" t="s">
        <v>300</v>
      </c>
      <c r="B376" s="11"/>
      <c r="C376" s="12"/>
      <c r="D376" s="39"/>
      <c r="E376" s="12"/>
      <c r="F376" s="18"/>
    </row>
    <row r="377" spans="1:6" x14ac:dyDescent="0.3">
      <c r="A377" s="19" t="s">
        <v>249</v>
      </c>
      <c r="B377" s="11">
        <v>20</v>
      </c>
      <c r="C377" s="12" t="s">
        <v>213</v>
      </c>
      <c r="D377" s="39">
        <v>1800</v>
      </c>
      <c r="E377" s="12"/>
      <c r="F377" s="18">
        <f t="shared" ref="F377:F384" si="47">D377*B377</f>
        <v>36000</v>
      </c>
    </row>
    <row r="378" spans="1:6" x14ac:dyDescent="0.3">
      <c r="A378" s="19" t="s">
        <v>250</v>
      </c>
      <c r="B378" s="11">
        <v>8</v>
      </c>
      <c r="C378" s="12" t="s">
        <v>213</v>
      </c>
      <c r="D378" s="39">
        <v>950</v>
      </c>
      <c r="E378" s="12"/>
      <c r="F378" s="18">
        <f t="shared" si="47"/>
        <v>7600</v>
      </c>
    </row>
    <row r="379" spans="1:6" x14ac:dyDescent="0.3">
      <c r="A379" s="19" t="s">
        <v>251</v>
      </c>
      <c r="B379" s="11">
        <v>16</v>
      </c>
      <c r="C379" s="12" t="s">
        <v>213</v>
      </c>
      <c r="D379" s="39">
        <v>2600</v>
      </c>
      <c r="E379" s="12"/>
      <c r="F379" s="18">
        <f t="shared" si="47"/>
        <v>41600</v>
      </c>
    </row>
    <row r="380" spans="1:6" x14ac:dyDescent="0.3">
      <c r="A380" s="19" t="s">
        <v>252</v>
      </c>
      <c r="B380" s="11">
        <v>12</v>
      </c>
      <c r="C380" s="12" t="s">
        <v>248</v>
      </c>
      <c r="D380" s="39">
        <v>2000</v>
      </c>
      <c r="E380" s="12"/>
      <c r="F380" s="18">
        <f t="shared" si="47"/>
        <v>24000</v>
      </c>
    </row>
    <row r="381" spans="1:6" x14ac:dyDescent="0.3">
      <c r="A381" s="19" t="s">
        <v>253</v>
      </c>
      <c r="B381" s="11">
        <v>6</v>
      </c>
      <c r="C381" s="12" t="s">
        <v>248</v>
      </c>
      <c r="D381" s="39">
        <v>1600</v>
      </c>
      <c r="E381" s="12"/>
      <c r="F381" s="18">
        <f t="shared" si="47"/>
        <v>9600</v>
      </c>
    </row>
    <row r="382" spans="1:6" x14ac:dyDescent="0.3">
      <c r="A382" s="19" t="s">
        <v>254</v>
      </c>
      <c r="B382" s="11">
        <v>24</v>
      </c>
      <c r="C382" s="12" t="s">
        <v>25</v>
      </c>
      <c r="D382" s="39">
        <v>500</v>
      </c>
      <c r="E382" s="12"/>
      <c r="F382" s="18">
        <f t="shared" si="47"/>
        <v>12000</v>
      </c>
    </row>
    <row r="383" spans="1:6" x14ac:dyDescent="0.3">
      <c r="A383" s="19" t="s">
        <v>255</v>
      </c>
      <c r="B383" s="11">
        <v>12</v>
      </c>
      <c r="C383" s="12" t="s">
        <v>25</v>
      </c>
      <c r="D383" s="39">
        <v>350</v>
      </c>
      <c r="E383" s="12"/>
      <c r="F383" s="18">
        <f t="shared" si="47"/>
        <v>4200</v>
      </c>
    </row>
    <row r="384" spans="1:6" x14ac:dyDescent="0.3">
      <c r="A384" s="19" t="s">
        <v>256</v>
      </c>
      <c r="B384" s="11">
        <v>1</v>
      </c>
      <c r="C384" s="12" t="s">
        <v>21</v>
      </c>
      <c r="D384" s="39">
        <v>10000</v>
      </c>
      <c r="E384" s="12"/>
      <c r="F384" s="18">
        <f t="shared" si="47"/>
        <v>10000</v>
      </c>
    </row>
    <row r="385" spans="1:6" x14ac:dyDescent="0.3">
      <c r="A385" s="19"/>
      <c r="B385" s="11"/>
      <c r="C385" s="12"/>
      <c r="D385" s="69" t="s">
        <v>28</v>
      </c>
      <c r="E385" s="29" t="s">
        <v>7</v>
      </c>
      <c r="F385" s="24">
        <f>SUM(F377:F384)</f>
        <v>145000</v>
      </c>
    </row>
    <row r="386" spans="1:6" x14ac:dyDescent="0.3">
      <c r="A386" s="28" t="s">
        <v>301</v>
      </c>
      <c r="B386" s="11"/>
      <c r="C386" s="12"/>
      <c r="D386" s="39"/>
      <c r="E386" s="12"/>
      <c r="F386" s="18"/>
    </row>
    <row r="387" spans="1:6" x14ac:dyDescent="0.3">
      <c r="A387" s="19" t="s">
        <v>249</v>
      </c>
      <c r="B387" s="11">
        <v>8</v>
      </c>
      <c r="C387" s="12" t="s">
        <v>213</v>
      </c>
      <c r="D387" s="39">
        <v>1800</v>
      </c>
      <c r="E387" s="12"/>
      <c r="F387" s="18">
        <f t="shared" ref="F387:F395" si="48">D387*B387</f>
        <v>14400</v>
      </c>
    </row>
    <row r="388" spans="1:6" x14ac:dyDescent="0.3">
      <c r="A388" s="19" t="s">
        <v>260</v>
      </c>
      <c r="B388" s="11">
        <v>8</v>
      </c>
      <c r="C388" s="12" t="s">
        <v>213</v>
      </c>
      <c r="D388" s="39">
        <v>2600</v>
      </c>
      <c r="E388" s="12"/>
      <c r="F388" s="18">
        <f t="shared" si="48"/>
        <v>20800</v>
      </c>
    </row>
    <row r="389" spans="1:6" x14ac:dyDescent="0.3">
      <c r="A389" s="19" t="s">
        <v>261</v>
      </c>
      <c r="B389" s="11">
        <v>8</v>
      </c>
      <c r="C389" s="12" t="s">
        <v>25</v>
      </c>
      <c r="D389" s="39">
        <v>500</v>
      </c>
      <c r="E389" s="12"/>
      <c r="F389" s="18">
        <f t="shared" si="48"/>
        <v>4000</v>
      </c>
    </row>
    <row r="390" spans="1:6" x14ac:dyDescent="0.3">
      <c r="A390" s="19" t="s">
        <v>254</v>
      </c>
      <c r="B390" s="11">
        <v>8</v>
      </c>
      <c r="C390" s="12" t="s">
        <v>25</v>
      </c>
      <c r="D390" s="39">
        <v>500</v>
      </c>
      <c r="E390" s="12"/>
      <c r="F390" s="18">
        <f t="shared" si="48"/>
        <v>4000</v>
      </c>
    </row>
    <row r="391" spans="1:6" x14ac:dyDescent="0.3">
      <c r="A391" s="19" t="s">
        <v>259</v>
      </c>
      <c r="B391" s="11">
        <v>5</v>
      </c>
      <c r="C391" s="12" t="s">
        <v>248</v>
      </c>
      <c r="D391" s="39">
        <v>2000</v>
      </c>
      <c r="E391" s="12"/>
      <c r="F391" s="18">
        <f t="shared" si="48"/>
        <v>10000</v>
      </c>
    </row>
    <row r="392" spans="1:6" x14ac:dyDescent="0.3">
      <c r="A392" s="19" t="s">
        <v>258</v>
      </c>
      <c r="B392" s="11">
        <v>1</v>
      </c>
      <c r="C392" s="12" t="s">
        <v>195</v>
      </c>
      <c r="D392" s="39">
        <v>500</v>
      </c>
      <c r="E392" s="12"/>
      <c r="F392" s="18">
        <f t="shared" si="48"/>
        <v>500</v>
      </c>
    </row>
    <row r="393" spans="1:6" x14ac:dyDescent="0.3">
      <c r="A393" s="19" t="s">
        <v>257</v>
      </c>
      <c r="B393" s="11">
        <v>8</v>
      </c>
      <c r="C393" s="12" t="s">
        <v>116</v>
      </c>
      <c r="D393" s="39">
        <v>300</v>
      </c>
      <c r="E393" s="12"/>
      <c r="F393" s="18">
        <f t="shared" si="48"/>
        <v>2400</v>
      </c>
    </row>
    <row r="394" spans="1:6" x14ac:dyDescent="0.3">
      <c r="A394" s="19" t="s">
        <v>226</v>
      </c>
      <c r="B394" s="11">
        <v>1</v>
      </c>
      <c r="C394" s="12" t="s">
        <v>21</v>
      </c>
      <c r="D394" s="39">
        <v>2000</v>
      </c>
      <c r="E394" s="12"/>
      <c r="F394" s="18">
        <f t="shared" si="48"/>
        <v>2000</v>
      </c>
    </row>
    <row r="395" spans="1:6" x14ac:dyDescent="0.3">
      <c r="A395" s="19" t="s">
        <v>256</v>
      </c>
      <c r="B395" s="11">
        <v>1</v>
      </c>
      <c r="C395" s="12" t="s">
        <v>21</v>
      </c>
      <c r="D395" s="39">
        <v>5000</v>
      </c>
      <c r="E395" s="12"/>
      <c r="F395" s="18">
        <f t="shared" si="48"/>
        <v>5000</v>
      </c>
    </row>
    <row r="396" spans="1:6" x14ac:dyDescent="0.3">
      <c r="A396" s="19"/>
      <c r="B396" s="11"/>
      <c r="C396" s="12"/>
      <c r="D396" s="69" t="s">
        <v>28</v>
      </c>
      <c r="E396" s="29" t="s">
        <v>7</v>
      </c>
      <c r="F396" s="24">
        <f>SUM(F387:F395)</f>
        <v>63100</v>
      </c>
    </row>
    <row r="397" spans="1:6" ht="13.9" customHeight="1" x14ac:dyDescent="0.3">
      <c r="A397" s="19"/>
      <c r="B397" s="11"/>
      <c r="C397" s="12"/>
      <c r="D397" s="71" t="s">
        <v>20</v>
      </c>
      <c r="E397" s="27" t="s">
        <v>7</v>
      </c>
      <c r="F397" s="20">
        <f>SUM(F396,F385,F375)</f>
        <v>318150</v>
      </c>
    </row>
    <row r="398" spans="1:6" x14ac:dyDescent="0.3">
      <c r="A398" s="21" t="s">
        <v>306</v>
      </c>
      <c r="B398" s="15"/>
      <c r="C398" s="15"/>
      <c r="D398" s="62"/>
      <c r="E398" s="15"/>
      <c r="F398" s="22"/>
    </row>
    <row r="399" spans="1:6" x14ac:dyDescent="0.3">
      <c r="A399" s="21" t="s">
        <v>29</v>
      </c>
      <c r="B399" s="15"/>
      <c r="C399" s="15"/>
      <c r="D399" s="62"/>
      <c r="E399" s="15"/>
      <c r="F399" s="15"/>
    </row>
    <row r="400" spans="1:6" x14ac:dyDescent="0.3">
      <c r="A400" s="10" t="s">
        <v>15</v>
      </c>
      <c r="B400" s="10" t="s">
        <v>16</v>
      </c>
      <c r="C400" s="10" t="s">
        <v>17</v>
      </c>
      <c r="D400" s="68"/>
      <c r="E400" s="101" t="s">
        <v>18</v>
      </c>
      <c r="F400" s="101"/>
    </row>
    <row r="401" spans="1:6" x14ac:dyDescent="0.3">
      <c r="A401" s="28" t="s">
        <v>270</v>
      </c>
      <c r="B401" s="11"/>
      <c r="C401" s="12"/>
      <c r="D401" s="39"/>
      <c r="E401" s="12"/>
      <c r="F401" s="18"/>
    </row>
    <row r="402" spans="1:6" x14ac:dyDescent="0.3">
      <c r="A402" s="19" t="s">
        <v>262</v>
      </c>
      <c r="B402" s="11">
        <v>8</v>
      </c>
      <c r="C402" s="12" t="s">
        <v>213</v>
      </c>
      <c r="D402" s="39">
        <v>1300</v>
      </c>
      <c r="E402" s="12"/>
      <c r="F402" s="18">
        <f t="shared" ref="F402:F407" si="49">D402*B402</f>
        <v>10400</v>
      </c>
    </row>
    <row r="403" spans="1:6" x14ac:dyDescent="0.3">
      <c r="A403" s="19" t="s">
        <v>263</v>
      </c>
      <c r="B403" s="11">
        <v>1</v>
      </c>
      <c r="C403" s="12" t="s">
        <v>195</v>
      </c>
      <c r="D403" s="39">
        <v>900</v>
      </c>
      <c r="E403" s="12"/>
      <c r="F403" s="18">
        <f t="shared" si="49"/>
        <v>900</v>
      </c>
    </row>
    <row r="404" spans="1:6" x14ac:dyDescent="0.3">
      <c r="A404" s="19" t="s">
        <v>264</v>
      </c>
      <c r="B404" s="11">
        <v>1</v>
      </c>
      <c r="C404" s="12" t="s">
        <v>195</v>
      </c>
      <c r="D404" s="39">
        <v>400</v>
      </c>
      <c r="E404" s="12"/>
      <c r="F404" s="18">
        <f t="shared" si="49"/>
        <v>400</v>
      </c>
    </row>
    <row r="405" spans="1:6" x14ac:dyDescent="0.3">
      <c r="A405" s="19" t="s">
        <v>265</v>
      </c>
      <c r="B405" s="11">
        <v>1</v>
      </c>
      <c r="C405" s="12" t="s">
        <v>21</v>
      </c>
      <c r="D405" s="39">
        <v>500</v>
      </c>
      <c r="E405" s="12"/>
      <c r="F405" s="18">
        <f t="shared" si="49"/>
        <v>500</v>
      </c>
    </row>
    <row r="406" spans="1:6" x14ac:dyDescent="0.3">
      <c r="A406" s="19" t="s">
        <v>266</v>
      </c>
      <c r="B406" s="11">
        <v>8</v>
      </c>
      <c r="C406" s="12" t="s">
        <v>25</v>
      </c>
      <c r="D406" s="39">
        <v>3000</v>
      </c>
      <c r="E406" s="12"/>
      <c r="F406" s="18">
        <f t="shared" si="49"/>
        <v>24000</v>
      </c>
    </row>
    <row r="407" spans="1:6" x14ac:dyDescent="0.3">
      <c r="A407" s="19" t="s">
        <v>267</v>
      </c>
      <c r="B407" s="11">
        <v>1</v>
      </c>
      <c r="C407" s="12" t="s">
        <v>27</v>
      </c>
      <c r="D407" s="39">
        <v>500</v>
      </c>
      <c r="E407" s="12"/>
      <c r="F407" s="18">
        <f t="shared" si="49"/>
        <v>500</v>
      </c>
    </row>
    <row r="408" spans="1:6" x14ac:dyDescent="0.3">
      <c r="A408" s="19" t="s">
        <v>268</v>
      </c>
      <c r="B408" s="11">
        <v>2</v>
      </c>
      <c r="C408" s="12" t="s">
        <v>37</v>
      </c>
      <c r="D408" s="39">
        <v>1800</v>
      </c>
      <c r="E408" s="12"/>
      <c r="F408" s="18">
        <f t="shared" ref="F408:F409" si="50">D408*B408</f>
        <v>3600</v>
      </c>
    </row>
    <row r="409" spans="1:6" x14ac:dyDescent="0.3">
      <c r="A409" s="19" t="s">
        <v>269</v>
      </c>
      <c r="B409" s="11">
        <v>1</v>
      </c>
      <c r="C409" s="12" t="s">
        <v>195</v>
      </c>
      <c r="D409" s="39">
        <v>1000</v>
      </c>
      <c r="E409" s="12"/>
      <c r="F409" s="18">
        <f t="shared" si="50"/>
        <v>1000</v>
      </c>
    </row>
    <row r="410" spans="1:6" x14ac:dyDescent="0.3">
      <c r="A410" s="19"/>
      <c r="B410" s="11"/>
      <c r="C410" s="12"/>
      <c r="D410" s="69" t="s">
        <v>28</v>
      </c>
      <c r="E410" s="29" t="s">
        <v>7</v>
      </c>
      <c r="F410" s="24">
        <f>SUM(F402:F409)</f>
        <v>41300</v>
      </c>
    </row>
    <row r="411" spans="1:6" x14ac:dyDescent="0.3">
      <c r="A411" s="28" t="s">
        <v>276</v>
      </c>
      <c r="B411" s="11"/>
      <c r="C411" s="12"/>
      <c r="D411" s="39"/>
      <c r="E411" s="12"/>
      <c r="F411" s="18"/>
    </row>
    <row r="412" spans="1:6" x14ac:dyDescent="0.3">
      <c r="A412" s="19" t="s">
        <v>275</v>
      </c>
      <c r="B412" s="11">
        <v>1</v>
      </c>
      <c r="C412" s="12" t="s">
        <v>21</v>
      </c>
      <c r="D412" s="39">
        <v>10000</v>
      </c>
      <c r="E412" s="12"/>
      <c r="F412" s="18">
        <f>D412*B412</f>
        <v>10000</v>
      </c>
    </row>
    <row r="413" spans="1:6" x14ac:dyDescent="0.3">
      <c r="A413" s="19"/>
      <c r="B413" s="11"/>
      <c r="C413" s="12"/>
      <c r="D413" s="69" t="s">
        <v>28</v>
      </c>
      <c r="E413" s="29" t="s">
        <v>7</v>
      </c>
      <c r="F413" s="24">
        <f>SUM(F412:F412)</f>
        <v>10000</v>
      </c>
    </row>
    <row r="414" spans="1:6" x14ac:dyDescent="0.3">
      <c r="A414" s="28" t="s">
        <v>271</v>
      </c>
      <c r="B414" s="11"/>
      <c r="C414" s="12"/>
      <c r="D414" s="39"/>
      <c r="E414" s="12"/>
      <c r="F414" s="18"/>
    </row>
    <row r="415" spans="1:6" ht="27" x14ac:dyDescent="0.3">
      <c r="A415" s="58" t="s">
        <v>272</v>
      </c>
      <c r="B415" s="11">
        <v>1</v>
      </c>
      <c r="C415" s="12" t="s">
        <v>25</v>
      </c>
      <c r="D415" s="39">
        <v>15000</v>
      </c>
      <c r="E415" s="12"/>
      <c r="F415" s="18">
        <f>D415*B415</f>
        <v>15000</v>
      </c>
    </row>
    <row r="416" spans="1:6" x14ac:dyDescent="0.3">
      <c r="A416" s="19" t="s">
        <v>273</v>
      </c>
      <c r="B416" s="11">
        <v>1</v>
      </c>
      <c r="C416" s="12" t="s">
        <v>25</v>
      </c>
      <c r="D416" s="39">
        <v>35000</v>
      </c>
      <c r="E416" s="12"/>
      <c r="F416" s="18">
        <f>D416*B416</f>
        <v>35000</v>
      </c>
    </row>
    <row r="417" spans="1:6" ht="27" x14ac:dyDescent="0.3">
      <c r="A417" s="58" t="s">
        <v>274</v>
      </c>
      <c r="B417" s="11">
        <v>2</v>
      </c>
      <c r="C417" s="12" t="s">
        <v>25</v>
      </c>
      <c r="D417" s="39">
        <v>15000</v>
      </c>
      <c r="E417" s="12"/>
      <c r="F417" s="18">
        <f>D417*B417</f>
        <v>30000</v>
      </c>
    </row>
    <row r="418" spans="1:6" x14ac:dyDescent="0.3">
      <c r="A418" s="19"/>
      <c r="B418" s="11"/>
      <c r="C418" s="12"/>
      <c r="D418" s="69" t="s">
        <v>28</v>
      </c>
      <c r="E418" s="29" t="s">
        <v>7</v>
      </c>
      <c r="F418" s="24">
        <f>SUM(F415:F417)</f>
        <v>80000</v>
      </c>
    </row>
    <row r="419" spans="1:6" x14ac:dyDescent="0.3">
      <c r="A419" s="21"/>
      <c r="B419" s="15"/>
      <c r="C419" s="12"/>
      <c r="D419" s="71" t="s">
        <v>20</v>
      </c>
      <c r="E419" s="27" t="s">
        <v>7</v>
      </c>
      <c r="F419" s="20">
        <f>SUM(F418,F413,F410)</f>
        <v>131300</v>
      </c>
    </row>
    <row r="420" spans="1:6" x14ac:dyDescent="0.3">
      <c r="A420" s="94" t="s">
        <v>62</v>
      </c>
      <c r="B420" s="95"/>
      <c r="C420" s="95"/>
      <c r="D420" s="95"/>
      <c r="E420" s="95"/>
      <c r="F420" s="96"/>
    </row>
    <row r="421" spans="1:6" x14ac:dyDescent="0.3">
      <c r="A421" s="97"/>
      <c r="B421" s="98"/>
      <c r="C421" s="98"/>
      <c r="D421" s="98"/>
      <c r="E421" s="98"/>
      <c r="F421" s="99"/>
    </row>
    <row r="422" spans="1:6" x14ac:dyDescent="0.3">
      <c r="A422" s="78" t="s">
        <v>38</v>
      </c>
      <c r="B422" s="79"/>
      <c r="C422" s="79"/>
      <c r="D422" s="79"/>
      <c r="E422" s="79"/>
      <c r="F422" s="80"/>
    </row>
    <row r="423" spans="1:6" x14ac:dyDescent="0.3">
      <c r="A423" s="81"/>
      <c r="B423" s="82"/>
      <c r="C423" s="82"/>
      <c r="D423" s="82"/>
      <c r="E423" s="82"/>
      <c r="F423" s="83"/>
    </row>
    <row r="424" spans="1:6" x14ac:dyDescent="0.3">
      <c r="A424" s="84" t="s">
        <v>63</v>
      </c>
      <c r="B424" s="85"/>
      <c r="C424" s="85"/>
      <c r="D424" s="85"/>
      <c r="E424" s="85"/>
      <c r="F424" s="86"/>
    </row>
    <row r="425" spans="1:6" x14ac:dyDescent="0.3">
      <c r="A425" s="87" t="s">
        <v>314</v>
      </c>
      <c r="B425" s="87"/>
      <c r="C425" s="87"/>
      <c r="D425" s="87"/>
      <c r="E425" s="87"/>
      <c r="F425" s="87"/>
    </row>
    <row r="426" spans="1:6" x14ac:dyDescent="0.3">
      <c r="A426" s="88"/>
      <c r="B426" s="89"/>
      <c r="C426" s="89"/>
      <c r="D426" s="89"/>
      <c r="E426" s="89"/>
      <c r="F426" s="90"/>
    </row>
    <row r="427" spans="1:6" x14ac:dyDescent="0.3">
      <c r="A427" s="5"/>
      <c r="B427" s="4"/>
      <c r="C427" s="4"/>
      <c r="D427" s="55"/>
      <c r="E427" s="4"/>
      <c r="F427" s="13"/>
    </row>
    <row r="428" spans="1:6" x14ac:dyDescent="0.3">
      <c r="A428" s="5"/>
      <c r="B428" s="4"/>
      <c r="C428" s="4"/>
      <c r="D428" s="55"/>
      <c r="E428" s="4"/>
      <c r="F428" s="14"/>
    </row>
    <row r="429" spans="1:6" x14ac:dyDescent="0.3">
      <c r="A429" s="47"/>
      <c r="B429" s="91"/>
      <c r="C429" s="91"/>
      <c r="D429" s="91"/>
      <c r="E429" s="91"/>
      <c r="F429" s="91"/>
    </row>
    <row r="458" spans="1:10" s="1" customFormat="1" x14ac:dyDescent="0.3">
      <c r="A458" s="92" t="s">
        <v>60</v>
      </c>
      <c r="B458" s="93"/>
      <c r="C458" s="93"/>
      <c r="D458" s="93"/>
      <c r="E458" s="93"/>
      <c r="F458" s="93"/>
      <c r="G458" s="2"/>
      <c r="J458" s="54"/>
    </row>
    <row r="459" spans="1:10" s="1" customFormat="1" x14ac:dyDescent="0.3">
      <c r="A459" s="93"/>
      <c r="B459" s="93"/>
      <c r="C459" s="93"/>
      <c r="D459" s="93"/>
      <c r="E459" s="93"/>
      <c r="F459" s="93"/>
      <c r="G459" s="2"/>
      <c r="J459" s="54"/>
    </row>
    <row r="460" spans="1:10" s="1" customFormat="1" x14ac:dyDescent="0.3">
      <c r="A460" s="93"/>
      <c r="B460" s="93"/>
      <c r="C460" s="93"/>
      <c r="D460" s="93"/>
      <c r="E460" s="93"/>
      <c r="F460" s="93"/>
      <c r="G460" s="2"/>
      <c r="J460" s="54"/>
    </row>
    <row r="461" spans="1:10" s="1" customFormat="1" x14ac:dyDescent="0.3">
      <c r="A461" s="93"/>
      <c r="B461" s="93"/>
      <c r="C461" s="93"/>
      <c r="D461" s="93"/>
      <c r="E461" s="93"/>
      <c r="F461" s="93"/>
      <c r="G461" s="2"/>
      <c r="J461" s="54"/>
    </row>
    <row r="462" spans="1:10" s="1" customFormat="1" x14ac:dyDescent="0.3">
      <c r="A462" s="93"/>
      <c r="B462" s="93"/>
      <c r="C462" s="93"/>
      <c r="D462" s="93"/>
      <c r="E462" s="93"/>
      <c r="F462" s="93"/>
      <c r="G462" s="2"/>
      <c r="J462" s="54"/>
    </row>
    <row r="463" spans="1:10" s="1" customFormat="1" x14ac:dyDescent="0.3">
      <c r="A463" s="93"/>
      <c r="B463" s="93"/>
      <c r="C463" s="93"/>
      <c r="D463" s="93"/>
      <c r="E463" s="93"/>
      <c r="F463" s="93"/>
      <c r="G463" s="2"/>
      <c r="J463" s="54"/>
    </row>
  </sheetData>
  <mergeCells count="25">
    <mergeCell ref="A3:F3"/>
    <mergeCell ref="A4:F4"/>
    <mergeCell ref="A5:F5"/>
    <mergeCell ref="A7:F7"/>
    <mergeCell ref="A14:F14"/>
    <mergeCell ref="A45:B45"/>
    <mergeCell ref="D45:F45"/>
    <mergeCell ref="A46:B46"/>
    <mergeCell ref="D46:F46"/>
    <mergeCell ref="A47:B47"/>
    <mergeCell ref="D47:F47"/>
    <mergeCell ref="E65:F65"/>
    <mergeCell ref="E326:F326"/>
    <mergeCell ref="A458:F463"/>
    <mergeCell ref="A425:F425"/>
    <mergeCell ref="B429:F429"/>
    <mergeCell ref="A422:F423"/>
    <mergeCell ref="A420:F421"/>
    <mergeCell ref="A424:F424"/>
    <mergeCell ref="A426:F426"/>
    <mergeCell ref="E230:F230"/>
    <mergeCell ref="E286:F286"/>
    <mergeCell ref="E367:F367"/>
    <mergeCell ref="E400:F400"/>
    <mergeCell ref="E91:F91"/>
  </mergeCells>
  <pageMargins left="0.70866141732283472" right="0.70866141732283472" top="0.74803149606299213" bottom="0.74803149606299213" header="0.31496062992125984" footer="0.31496062992125984"/>
  <pageSetup paperSize="9" scale="75" fitToWidth="0" fitToHeight="0" orientation="portrait" horizontalDpi="300" verticalDpi="300" r:id="rId1"/>
  <rowBreaks count="12" manualBreakCount="12">
    <brk id="48" max="7" man="1"/>
    <brk id="88" max="7" man="1"/>
    <brk id="122" max="7" man="1"/>
    <brk id="160" max="7" man="1"/>
    <brk id="198" max="7" man="1"/>
    <brk id="227" max="7" man="1"/>
    <brk id="260" max="7" man="1"/>
    <brk id="283" max="7" man="1"/>
    <brk id="323" max="7" man="1"/>
    <brk id="349" max="7" man="1"/>
    <brk id="364" max="7" man="1"/>
    <brk id="397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1CB6-EE06-43C5-B7CE-3F2EC16F9E8B}">
  <dimension ref="A3:O123"/>
  <sheetViews>
    <sheetView tabSelected="1" view="pageBreakPreview" zoomScale="70" zoomScaleNormal="70" zoomScaleSheetLayoutView="70" workbookViewId="0">
      <selection activeCell="F29" sqref="F29"/>
    </sheetView>
  </sheetViews>
  <sheetFormatPr defaultColWidth="9.140625" defaultRowHeight="16.5" x14ac:dyDescent="0.3"/>
  <cols>
    <col min="1" max="1" width="53.140625" style="2" customWidth="1"/>
    <col min="2" max="2" width="13.28515625" style="2" bestFit="1" customWidth="1"/>
    <col min="3" max="3" width="9.28515625" style="2" bestFit="1" customWidth="1"/>
    <col min="4" max="4" width="13.42578125" style="52" bestFit="1" customWidth="1"/>
    <col min="5" max="5" width="5.42578125" style="2" customWidth="1"/>
    <col min="6" max="6" width="20.5703125" style="2" customWidth="1"/>
    <col min="7" max="7" width="9.140625" style="2"/>
    <col min="8" max="8" width="19.140625" style="2" bestFit="1" customWidth="1"/>
    <col min="9" max="9" width="14.7109375" style="2" bestFit="1" customWidth="1"/>
    <col min="10" max="10" width="15.42578125" style="52" bestFit="1" customWidth="1"/>
    <col min="11" max="12" width="14.5703125" style="2" bestFit="1" customWidth="1"/>
    <col min="13" max="16124" width="9.140625" style="2"/>
    <col min="16125" max="16125" width="10.7109375" style="2" bestFit="1" customWidth="1"/>
    <col min="16126" max="16377" width="9.140625" style="2"/>
    <col min="16378" max="16378" width="9.28515625" style="2" bestFit="1" customWidth="1"/>
    <col min="16379" max="16384" width="9.28515625" style="2" customWidth="1"/>
  </cols>
  <sheetData>
    <row r="3" spans="1:10" ht="18" x14ac:dyDescent="0.3">
      <c r="A3" s="102"/>
      <c r="B3" s="102"/>
      <c r="C3" s="102"/>
      <c r="D3" s="102"/>
      <c r="E3" s="102"/>
      <c r="F3" s="102"/>
    </row>
    <row r="4" spans="1:10" x14ac:dyDescent="0.3">
      <c r="A4" s="103"/>
      <c r="B4" s="103"/>
      <c r="C4" s="103"/>
      <c r="D4" s="103"/>
      <c r="E4" s="103"/>
      <c r="F4" s="103"/>
    </row>
    <row r="5" spans="1:10" x14ac:dyDescent="0.3">
      <c r="A5" s="103"/>
      <c r="B5" s="103"/>
      <c r="C5" s="103"/>
      <c r="D5" s="103"/>
      <c r="E5" s="103"/>
      <c r="F5" s="103"/>
    </row>
    <row r="6" spans="1:10" ht="17.25" thickBot="1" x14ac:dyDescent="0.35">
      <c r="A6" s="3"/>
      <c r="B6" s="3"/>
      <c r="C6" s="3"/>
      <c r="D6" s="61"/>
      <c r="E6" s="3"/>
      <c r="F6" s="3"/>
    </row>
    <row r="7" spans="1:10" ht="20.25" x14ac:dyDescent="0.3">
      <c r="A7" s="112" t="s">
        <v>46</v>
      </c>
      <c r="B7" s="113"/>
      <c r="C7" s="113"/>
      <c r="D7" s="113"/>
      <c r="E7" s="113"/>
      <c r="F7" s="114"/>
    </row>
    <row r="8" spans="1:10" x14ac:dyDescent="0.3">
      <c r="A8" s="115"/>
      <c r="B8" s="116"/>
      <c r="C8" s="116"/>
      <c r="D8" s="117"/>
      <c r="E8" s="116"/>
      <c r="F8" s="118"/>
    </row>
    <row r="9" spans="1:10" x14ac:dyDescent="0.3">
      <c r="A9" s="119" t="s">
        <v>0</v>
      </c>
      <c r="B9" s="120" t="s">
        <v>337</v>
      </c>
      <c r="C9" s="121"/>
      <c r="D9" s="117"/>
      <c r="E9" s="116"/>
      <c r="F9" s="118"/>
    </row>
    <row r="10" spans="1:10" x14ac:dyDescent="0.3">
      <c r="A10" s="119" t="s">
        <v>1</v>
      </c>
      <c r="B10" s="120" t="s">
        <v>312</v>
      </c>
      <c r="C10" s="122"/>
      <c r="D10" s="117"/>
      <c r="E10" s="116"/>
      <c r="F10" s="118"/>
    </row>
    <row r="11" spans="1:10" x14ac:dyDescent="0.3">
      <c r="A11" s="119" t="s">
        <v>2</v>
      </c>
      <c r="B11" s="120" t="s">
        <v>3</v>
      </c>
      <c r="C11" s="120"/>
      <c r="D11" s="117"/>
      <c r="E11" s="116"/>
      <c r="F11" s="118"/>
    </row>
    <row r="12" spans="1:10" x14ac:dyDescent="0.3">
      <c r="A12" s="119" t="s">
        <v>4</v>
      </c>
      <c r="B12" s="120" t="s">
        <v>317</v>
      </c>
      <c r="C12" s="120"/>
      <c r="D12" s="117"/>
      <c r="E12" s="116"/>
      <c r="F12" s="118"/>
    </row>
    <row r="13" spans="1:10" x14ac:dyDescent="0.3">
      <c r="A13" s="119"/>
      <c r="B13" s="120" t="s">
        <v>5</v>
      </c>
      <c r="C13" s="120"/>
      <c r="D13" s="117"/>
      <c r="E13" s="116"/>
      <c r="F13" s="118"/>
    </row>
    <row r="14" spans="1:10" x14ac:dyDescent="0.3">
      <c r="A14" s="123" t="s">
        <v>6</v>
      </c>
      <c r="B14" s="105"/>
      <c r="C14" s="105"/>
      <c r="D14" s="105"/>
      <c r="E14" s="105"/>
      <c r="F14" s="124"/>
    </row>
    <row r="15" spans="1:10" x14ac:dyDescent="0.3">
      <c r="A15" s="125"/>
      <c r="B15" s="21"/>
      <c r="C15" s="21"/>
      <c r="D15" s="62"/>
      <c r="E15" s="15"/>
      <c r="F15" s="126"/>
    </row>
    <row r="16" spans="1:10" s="8" customFormat="1" x14ac:dyDescent="0.3">
      <c r="A16" s="127" t="str">
        <f>A53</f>
        <v>I- Waiting Area Extension (5m x 6.22m)</v>
      </c>
      <c r="B16" s="32"/>
      <c r="C16" s="32"/>
      <c r="D16" s="63"/>
      <c r="E16" s="32" t="s">
        <v>7</v>
      </c>
      <c r="F16" s="128">
        <f>SUM(F57,F61,F68,F73,F79)</f>
        <v>133020</v>
      </c>
      <c r="J16" s="53"/>
    </row>
    <row r="17" spans="1:12" x14ac:dyDescent="0.3">
      <c r="A17" s="125"/>
      <c r="B17" s="15"/>
      <c r="C17" s="15"/>
      <c r="D17" s="62"/>
      <c r="E17" s="15"/>
      <c r="F17" s="129"/>
    </row>
    <row r="18" spans="1:12" x14ac:dyDescent="0.3">
      <c r="A18" s="125" t="s">
        <v>8</v>
      </c>
      <c r="B18" s="15"/>
      <c r="C18" s="15"/>
      <c r="D18" s="62"/>
      <c r="E18" s="15"/>
      <c r="F18" s="129"/>
    </row>
    <row r="19" spans="1:12" x14ac:dyDescent="0.3">
      <c r="A19" s="125" t="s">
        <v>310</v>
      </c>
      <c r="B19" s="15"/>
      <c r="C19" s="15"/>
      <c r="D19" s="62"/>
      <c r="E19" s="15" t="s">
        <v>7</v>
      </c>
      <c r="F19" s="130">
        <f>SUM(F16:F16)</f>
        <v>133020</v>
      </c>
    </row>
    <row r="20" spans="1:12" x14ac:dyDescent="0.3">
      <c r="A20" s="125" t="s">
        <v>311</v>
      </c>
      <c r="B20" s="15"/>
      <c r="C20" s="15"/>
      <c r="D20" s="64"/>
      <c r="E20" s="15" t="s">
        <v>7</v>
      </c>
      <c r="F20" s="130">
        <f>F19*55%</f>
        <v>73161</v>
      </c>
    </row>
    <row r="21" spans="1:12" x14ac:dyDescent="0.3">
      <c r="A21" s="131" t="s">
        <v>9</v>
      </c>
      <c r="B21" s="25"/>
      <c r="C21" s="25"/>
      <c r="D21" s="65"/>
      <c r="E21" s="25" t="s">
        <v>7</v>
      </c>
      <c r="F21" s="132">
        <f>SUM(F19:F20)</f>
        <v>206181</v>
      </c>
      <c r="I21" s="50"/>
    </row>
    <row r="22" spans="1:12" x14ac:dyDescent="0.3">
      <c r="A22" s="125" t="s">
        <v>10</v>
      </c>
      <c r="B22" s="15"/>
      <c r="C22" s="15"/>
      <c r="D22" s="62"/>
      <c r="E22" s="15"/>
      <c r="F22" s="129"/>
      <c r="J22" s="2"/>
    </row>
    <row r="23" spans="1:12" x14ac:dyDescent="0.3">
      <c r="A23" s="125" t="s">
        <v>47</v>
      </c>
      <c r="B23" s="15"/>
      <c r="C23" s="15"/>
      <c r="D23" s="72">
        <v>0.12</v>
      </c>
      <c r="E23" s="15" t="s">
        <v>7</v>
      </c>
      <c r="F23" s="130">
        <f>F21*D23</f>
        <v>24741.719999999998</v>
      </c>
    </row>
    <row r="24" spans="1:12" x14ac:dyDescent="0.3">
      <c r="A24" s="125" t="s">
        <v>48</v>
      </c>
      <c r="B24" s="15"/>
      <c r="C24" s="15"/>
      <c r="D24" s="72">
        <v>0.08</v>
      </c>
      <c r="E24" s="15" t="s">
        <v>7</v>
      </c>
      <c r="F24" s="130">
        <f>F21*D24</f>
        <v>16494.48</v>
      </c>
      <c r="L24" s="50"/>
    </row>
    <row r="25" spans="1:12" x14ac:dyDescent="0.3">
      <c r="A25" s="131" t="s">
        <v>11</v>
      </c>
      <c r="B25" s="25"/>
      <c r="C25" s="25"/>
      <c r="D25" s="65"/>
      <c r="E25" s="25" t="s">
        <v>7</v>
      </c>
      <c r="F25" s="132">
        <f>SUM(F23:F24)</f>
        <v>41236.199999999997</v>
      </c>
      <c r="L25" s="50"/>
    </row>
    <row r="26" spans="1:12" x14ac:dyDescent="0.3">
      <c r="A26" s="133"/>
      <c r="B26" s="134"/>
      <c r="C26" s="134"/>
      <c r="D26" s="135"/>
      <c r="E26" s="134"/>
      <c r="F26" s="136"/>
      <c r="K26" s="50"/>
    </row>
    <row r="27" spans="1:12" x14ac:dyDescent="0.3">
      <c r="A27" s="125"/>
      <c r="B27" s="15"/>
      <c r="C27" s="15"/>
      <c r="D27" s="62"/>
      <c r="E27" s="15"/>
      <c r="F27" s="129"/>
      <c r="H27" s="50"/>
    </row>
    <row r="28" spans="1:12" ht="17.25" thickBot="1" x14ac:dyDescent="0.35">
      <c r="A28" s="137"/>
      <c r="B28" s="34"/>
      <c r="C28" s="34"/>
      <c r="D28" s="73">
        <v>13421.59</v>
      </c>
      <c r="E28" s="34"/>
      <c r="F28" s="138"/>
      <c r="K28" s="50"/>
      <c r="L28" s="50"/>
    </row>
    <row r="29" spans="1:12" ht="17.25" thickBot="1" x14ac:dyDescent="0.35">
      <c r="A29" s="44" t="s">
        <v>12</v>
      </c>
      <c r="B29" s="45"/>
      <c r="C29" s="45"/>
      <c r="D29" s="66"/>
      <c r="E29" s="45" t="s">
        <v>7</v>
      </c>
      <c r="F29" s="46">
        <f>F25+F21</f>
        <v>247417.2</v>
      </c>
      <c r="K29" s="50"/>
      <c r="L29" s="50"/>
    </row>
    <row r="30" spans="1:12" x14ac:dyDescent="0.3">
      <c r="A30" s="119" t="s">
        <v>13</v>
      </c>
      <c r="B30" s="120"/>
      <c r="C30" s="120"/>
      <c r="D30" s="117"/>
      <c r="E30" s="116"/>
      <c r="F30" s="118"/>
      <c r="H30" s="50"/>
    </row>
    <row r="31" spans="1:12" ht="9" customHeight="1" x14ac:dyDescent="0.3">
      <c r="A31" s="119"/>
      <c r="B31" s="120"/>
      <c r="C31" s="120"/>
      <c r="D31" s="117"/>
      <c r="E31" s="116"/>
      <c r="F31" s="118"/>
      <c r="L31" s="50"/>
    </row>
    <row r="32" spans="1:12" hidden="1" x14ac:dyDescent="0.3">
      <c r="A32" s="119"/>
      <c r="B32" s="120"/>
      <c r="C32" s="120"/>
      <c r="D32" s="117"/>
      <c r="E32" s="116"/>
      <c r="F32" s="118"/>
    </row>
    <row r="33" spans="1:10" hidden="1" x14ac:dyDescent="0.3">
      <c r="A33" s="119"/>
      <c r="B33" s="120"/>
      <c r="C33" s="120"/>
      <c r="D33" s="117"/>
      <c r="E33" s="116"/>
      <c r="F33" s="118"/>
      <c r="H33" s="50"/>
    </row>
    <row r="34" spans="1:10" hidden="1" x14ac:dyDescent="0.3">
      <c r="A34" s="119"/>
      <c r="B34" s="120"/>
      <c r="C34" s="120"/>
      <c r="D34" s="117"/>
      <c r="E34" s="116"/>
      <c r="F34" s="118"/>
    </row>
    <row r="35" spans="1:10" hidden="1" x14ac:dyDescent="0.3">
      <c r="A35" s="119"/>
      <c r="B35" s="120"/>
      <c r="C35" s="120"/>
      <c r="D35" s="117"/>
      <c r="E35" s="116"/>
      <c r="F35" s="118"/>
    </row>
    <row r="36" spans="1:10" s="1" customFormat="1" x14ac:dyDescent="0.3">
      <c r="A36" s="119"/>
      <c r="B36" s="120"/>
      <c r="C36" s="120"/>
      <c r="D36" s="117"/>
      <c r="E36" s="116"/>
      <c r="F36" s="139" t="s">
        <v>14</v>
      </c>
      <c r="G36" s="2"/>
      <c r="I36" s="51"/>
      <c r="J36" s="54"/>
    </row>
    <row r="37" spans="1:10" s="1" customFormat="1" ht="18.75" x14ac:dyDescent="0.3">
      <c r="A37" s="140" t="s">
        <v>309</v>
      </c>
      <c r="B37" s="141"/>
      <c r="C37" s="120"/>
      <c r="D37" s="142" t="s">
        <v>315</v>
      </c>
      <c r="E37" s="142"/>
      <c r="F37" s="143"/>
      <c r="G37" s="2"/>
      <c r="J37" s="54"/>
    </row>
    <row r="38" spans="1:10" s="1" customFormat="1" x14ac:dyDescent="0.3">
      <c r="A38" s="144" t="s">
        <v>308</v>
      </c>
      <c r="B38" s="145"/>
      <c r="C38" s="120"/>
      <c r="D38" s="145" t="s">
        <v>316</v>
      </c>
      <c r="E38" s="145"/>
      <c r="F38" s="146"/>
      <c r="G38" s="2"/>
      <c r="J38" s="54"/>
    </row>
    <row r="39" spans="1:10" s="1" customFormat="1" hidden="1" x14ac:dyDescent="0.3">
      <c r="A39" s="115"/>
      <c r="B39" s="116"/>
      <c r="C39" s="116"/>
      <c r="D39" s="117"/>
      <c r="E39" s="116"/>
      <c r="F39" s="118"/>
      <c r="G39" s="2"/>
      <c r="J39" s="54"/>
    </row>
    <row r="40" spans="1:10" s="1" customFormat="1" hidden="1" x14ac:dyDescent="0.3">
      <c r="A40" s="115"/>
      <c r="B40" s="116"/>
      <c r="C40" s="116"/>
      <c r="D40" s="117"/>
      <c r="E40" s="116"/>
      <c r="F40" s="118"/>
      <c r="G40" s="2"/>
      <c r="J40" s="54"/>
    </row>
    <row r="41" spans="1:10" s="1" customFormat="1" hidden="1" x14ac:dyDescent="0.3">
      <c r="A41" s="115"/>
      <c r="B41" s="116"/>
      <c r="C41" s="116"/>
      <c r="D41" s="117"/>
      <c r="E41" s="116"/>
      <c r="F41" s="118"/>
      <c r="G41" s="2"/>
      <c r="J41" s="54"/>
    </row>
    <row r="42" spans="1:10" s="1" customFormat="1" hidden="1" x14ac:dyDescent="0.3">
      <c r="A42" s="115"/>
      <c r="B42" s="116"/>
      <c r="C42" s="116"/>
      <c r="D42" s="117"/>
      <c r="E42" s="116"/>
      <c r="F42" s="118"/>
      <c r="G42" s="2"/>
      <c r="J42" s="54"/>
    </row>
    <row r="43" spans="1:10" s="1" customFormat="1" hidden="1" x14ac:dyDescent="0.3">
      <c r="A43" s="115"/>
      <c r="B43" s="116"/>
      <c r="C43" s="116"/>
      <c r="D43" s="117"/>
      <c r="E43" s="116"/>
      <c r="F43" s="118"/>
      <c r="G43" s="2"/>
      <c r="J43" s="54"/>
    </row>
    <row r="44" spans="1:10" s="1" customFormat="1" hidden="1" x14ac:dyDescent="0.3">
      <c r="A44" s="115"/>
      <c r="B44" s="116"/>
      <c r="C44" s="116"/>
      <c r="D44" s="117"/>
      <c r="E44" s="116"/>
      <c r="F44" s="118"/>
      <c r="G44" s="2"/>
      <c r="J44" s="54"/>
    </row>
    <row r="45" spans="1:10" s="1" customFormat="1" hidden="1" x14ac:dyDescent="0.3">
      <c r="A45" s="115"/>
      <c r="B45" s="116"/>
      <c r="C45" s="116"/>
      <c r="D45" s="117"/>
      <c r="E45" s="116"/>
      <c r="F45" s="118"/>
      <c r="G45" s="2"/>
      <c r="J45" s="54"/>
    </row>
    <row r="46" spans="1:10" s="1" customFormat="1" hidden="1" x14ac:dyDescent="0.3">
      <c r="A46" s="115"/>
      <c r="B46" s="116"/>
      <c r="C46" s="116"/>
      <c r="D46" s="117"/>
      <c r="E46" s="116"/>
      <c r="F46" s="118"/>
      <c r="G46" s="2"/>
      <c r="J46" s="54"/>
    </row>
    <row r="47" spans="1:10" s="1" customFormat="1" hidden="1" x14ac:dyDescent="0.3">
      <c r="A47" s="115"/>
      <c r="B47" s="116"/>
      <c r="C47" s="116"/>
      <c r="D47" s="117"/>
      <c r="E47" s="116"/>
      <c r="F47" s="118"/>
      <c r="G47" s="2"/>
      <c r="J47" s="54"/>
    </row>
    <row r="48" spans="1:10" s="1" customFormat="1" hidden="1" x14ac:dyDescent="0.3">
      <c r="A48" s="115"/>
      <c r="B48" s="116"/>
      <c r="C48" s="116"/>
      <c r="D48" s="117"/>
      <c r="E48" s="116"/>
      <c r="F48" s="118"/>
      <c r="G48" s="2"/>
      <c r="J48" s="54"/>
    </row>
    <row r="49" spans="1:10" s="1" customFormat="1" hidden="1" x14ac:dyDescent="0.3">
      <c r="A49" s="115"/>
      <c r="B49" s="116"/>
      <c r="C49" s="116"/>
      <c r="D49" s="117"/>
      <c r="E49" s="116"/>
      <c r="F49" s="118"/>
      <c r="G49" s="2"/>
      <c r="J49" s="54"/>
    </row>
    <row r="50" spans="1:10" s="1" customFormat="1" hidden="1" x14ac:dyDescent="0.3">
      <c r="A50" s="115"/>
      <c r="B50" s="116"/>
      <c r="C50" s="116"/>
      <c r="D50" s="117"/>
      <c r="E50" s="116"/>
      <c r="F50" s="118"/>
      <c r="G50" s="2"/>
      <c r="J50" s="54"/>
    </row>
    <row r="51" spans="1:10" s="1" customFormat="1" hidden="1" x14ac:dyDescent="0.3">
      <c r="A51" s="115"/>
      <c r="B51" s="116"/>
      <c r="C51" s="116"/>
      <c r="D51" s="117"/>
      <c r="E51" s="116"/>
      <c r="F51" s="118"/>
      <c r="G51" s="2"/>
      <c r="J51" s="54"/>
    </row>
    <row r="52" spans="1:10" s="1" customFormat="1" hidden="1" x14ac:dyDescent="0.3">
      <c r="A52" s="115"/>
      <c r="B52" s="116"/>
      <c r="C52" s="116"/>
      <c r="D52" s="117"/>
      <c r="E52" s="116"/>
      <c r="F52" s="118"/>
      <c r="G52" s="2"/>
      <c r="J52" s="54"/>
    </row>
    <row r="53" spans="1:10" s="1" customFormat="1" ht="17.25" x14ac:dyDescent="0.3">
      <c r="A53" s="147" t="s">
        <v>318</v>
      </c>
      <c r="B53" s="15"/>
      <c r="C53" s="15"/>
      <c r="D53" s="62"/>
      <c r="E53" s="15"/>
      <c r="F53" s="126"/>
      <c r="G53" s="2"/>
      <c r="J53" s="54"/>
    </row>
    <row r="54" spans="1:10" s="1" customFormat="1" x14ac:dyDescent="0.3">
      <c r="A54" s="148" t="s">
        <v>15</v>
      </c>
      <c r="B54" s="10" t="s">
        <v>16</v>
      </c>
      <c r="C54" s="10" t="s">
        <v>17</v>
      </c>
      <c r="D54" s="68"/>
      <c r="E54" s="101" t="s">
        <v>18</v>
      </c>
      <c r="F54" s="149"/>
      <c r="G54" s="2"/>
      <c r="J54" s="54"/>
    </row>
    <row r="55" spans="1:10" s="1" customFormat="1" x14ac:dyDescent="0.3">
      <c r="A55" s="150" t="s">
        <v>19</v>
      </c>
      <c r="B55" s="11"/>
      <c r="C55" s="12"/>
      <c r="D55" s="39"/>
      <c r="E55" s="12"/>
      <c r="F55" s="151"/>
      <c r="G55" s="2"/>
      <c r="J55" s="54"/>
    </row>
    <row r="56" spans="1:10" s="1" customFormat="1" x14ac:dyDescent="0.3">
      <c r="A56" s="152" t="s">
        <v>336</v>
      </c>
      <c r="B56" s="11">
        <v>1</v>
      </c>
      <c r="C56" s="12" t="s">
        <v>21</v>
      </c>
      <c r="D56" s="39">
        <v>10000</v>
      </c>
      <c r="E56" s="12"/>
      <c r="F56" s="151">
        <f>D56*B56</f>
        <v>10000</v>
      </c>
      <c r="G56" s="2"/>
      <c r="J56" s="54"/>
    </row>
    <row r="57" spans="1:10" s="1" customFormat="1" x14ac:dyDescent="0.3">
      <c r="A57" s="152"/>
      <c r="B57" s="11"/>
      <c r="C57" s="12"/>
      <c r="D57" s="69" t="s">
        <v>28</v>
      </c>
      <c r="E57" s="29" t="s">
        <v>44</v>
      </c>
      <c r="F57" s="153">
        <f>SUM(F56:F56)</f>
        <v>10000</v>
      </c>
      <c r="G57" s="2"/>
      <c r="J57" s="54"/>
    </row>
    <row r="58" spans="1:10" s="1" customFormat="1" x14ac:dyDescent="0.3">
      <c r="A58" s="150" t="s">
        <v>338</v>
      </c>
      <c r="B58" s="11"/>
      <c r="C58" s="12"/>
      <c r="D58" s="39"/>
      <c r="E58" s="12"/>
      <c r="F58" s="151"/>
      <c r="G58" s="2"/>
      <c r="J58" s="54"/>
    </row>
    <row r="59" spans="1:10" s="1" customFormat="1" x14ac:dyDescent="0.3">
      <c r="A59" s="152" t="s">
        <v>325</v>
      </c>
      <c r="B59" s="11">
        <v>31</v>
      </c>
      <c r="C59" s="12" t="s">
        <v>42</v>
      </c>
      <c r="D59" s="39">
        <v>80</v>
      </c>
      <c r="E59" s="12"/>
      <c r="F59" s="151">
        <f>D59*B59</f>
        <v>2480</v>
      </c>
      <c r="G59" s="2"/>
      <c r="J59" s="54"/>
    </row>
    <row r="60" spans="1:10" s="1" customFormat="1" x14ac:dyDescent="0.3">
      <c r="A60" s="152" t="s">
        <v>326</v>
      </c>
      <c r="B60" s="11">
        <v>31</v>
      </c>
      <c r="C60" s="12" t="s">
        <v>42</v>
      </c>
      <c r="D60" s="39">
        <v>450</v>
      </c>
      <c r="E60" s="12"/>
      <c r="F60" s="151">
        <f>D60*B60</f>
        <v>13950</v>
      </c>
      <c r="G60" s="2"/>
      <c r="J60" s="54"/>
    </row>
    <row r="61" spans="1:10" s="1" customFormat="1" x14ac:dyDescent="0.3">
      <c r="A61" s="152"/>
      <c r="B61" s="11"/>
      <c r="C61" s="12"/>
      <c r="D61" s="69" t="s">
        <v>28</v>
      </c>
      <c r="E61" s="29" t="s">
        <v>44</v>
      </c>
      <c r="F61" s="153">
        <f>SUM(F59:F60)</f>
        <v>16430</v>
      </c>
      <c r="G61" s="2"/>
      <c r="J61" s="54"/>
    </row>
    <row r="62" spans="1:10" s="1" customFormat="1" x14ac:dyDescent="0.3">
      <c r="A62" s="150" t="s">
        <v>339</v>
      </c>
      <c r="B62" s="11"/>
      <c r="C62" s="12"/>
      <c r="D62" s="39"/>
      <c r="E62" s="12"/>
      <c r="F62" s="151"/>
      <c r="G62" s="2"/>
      <c r="J62" s="54"/>
    </row>
    <row r="63" spans="1:10" s="1" customFormat="1" x14ac:dyDescent="0.3">
      <c r="A63" s="152" t="s">
        <v>327</v>
      </c>
      <c r="B63" s="11">
        <v>5</v>
      </c>
      <c r="C63" s="12" t="s">
        <v>25</v>
      </c>
      <c r="D63" s="39">
        <v>7500</v>
      </c>
      <c r="E63" s="12"/>
      <c r="F63" s="151">
        <f>D63*B63</f>
        <v>37500</v>
      </c>
      <c r="G63" s="2"/>
      <c r="J63" s="54"/>
    </row>
    <row r="64" spans="1:10" s="1" customFormat="1" x14ac:dyDescent="0.3">
      <c r="A64" s="152" t="s">
        <v>328</v>
      </c>
      <c r="B64" s="11">
        <v>6</v>
      </c>
      <c r="C64" s="12" t="s">
        <v>25</v>
      </c>
      <c r="D64" s="39">
        <v>1200</v>
      </c>
      <c r="E64" s="12"/>
      <c r="F64" s="151">
        <f>D64*B64</f>
        <v>7200</v>
      </c>
      <c r="G64" s="2"/>
      <c r="J64" s="54"/>
    </row>
    <row r="65" spans="1:10" s="1" customFormat="1" x14ac:dyDescent="0.3">
      <c r="A65" s="152" t="s">
        <v>329</v>
      </c>
      <c r="B65" s="11">
        <v>8</v>
      </c>
      <c r="C65" s="12" t="s">
        <v>25</v>
      </c>
      <c r="D65" s="39">
        <v>750</v>
      </c>
      <c r="E65" s="12"/>
      <c r="F65" s="151">
        <f>D65*B65</f>
        <v>6000</v>
      </c>
      <c r="G65" s="2"/>
      <c r="J65" s="54"/>
    </row>
    <row r="66" spans="1:10" s="1" customFormat="1" x14ac:dyDescent="0.3">
      <c r="A66" s="152" t="s">
        <v>330</v>
      </c>
      <c r="B66" s="11">
        <v>18</v>
      </c>
      <c r="C66" s="12" t="s">
        <v>25</v>
      </c>
      <c r="D66" s="39">
        <v>660</v>
      </c>
      <c r="E66" s="12"/>
      <c r="F66" s="151">
        <f>D66*B66</f>
        <v>11880</v>
      </c>
      <c r="G66" s="2"/>
      <c r="J66" s="54"/>
    </row>
    <row r="67" spans="1:10" s="1" customFormat="1" x14ac:dyDescent="0.3">
      <c r="A67" s="152" t="s">
        <v>331</v>
      </c>
      <c r="B67" s="11">
        <v>1</v>
      </c>
      <c r="C67" s="12" t="s">
        <v>21</v>
      </c>
      <c r="D67" s="39">
        <v>10000</v>
      </c>
      <c r="E67" s="12"/>
      <c r="F67" s="151">
        <f>D67</f>
        <v>10000</v>
      </c>
      <c r="G67" s="2"/>
      <c r="J67" s="54"/>
    </row>
    <row r="68" spans="1:10" s="1" customFormat="1" x14ac:dyDescent="0.3">
      <c r="A68" s="152"/>
      <c r="B68" s="11"/>
      <c r="C68" s="12"/>
      <c r="D68" s="69" t="s">
        <v>28</v>
      </c>
      <c r="E68" s="29" t="s">
        <v>44</v>
      </c>
      <c r="F68" s="153">
        <f>SUM(F63:F67)</f>
        <v>72580</v>
      </c>
      <c r="G68" s="2"/>
      <c r="J68" s="54"/>
    </row>
    <row r="69" spans="1:10" s="1" customFormat="1" x14ac:dyDescent="0.3">
      <c r="A69" s="150" t="s">
        <v>340</v>
      </c>
      <c r="B69" s="11"/>
      <c r="C69" s="12"/>
      <c r="D69" s="39"/>
      <c r="E69" s="12"/>
      <c r="F69" s="151"/>
      <c r="G69" s="2"/>
      <c r="J69" s="54"/>
    </row>
    <row r="70" spans="1:10" s="1" customFormat="1" x14ac:dyDescent="0.3">
      <c r="A70" s="152" t="s">
        <v>333</v>
      </c>
      <c r="B70" s="11">
        <v>8</v>
      </c>
      <c r="C70" s="12" t="s">
        <v>25</v>
      </c>
      <c r="D70" s="39">
        <v>450</v>
      </c>
      <c r="E70" s="12"/>
      <c r="F70" s="151">
        <f>D70*B70</f>
        <v>3600</v>
      </c>
      <c r="G70" s="2"/>
      <c r="J70" s="54"/>
    </row>
    <row r="71" spans="1:10" s="1" customFormat="1" x14ac:dyDescent="0.3">
      <c r="A71" s="152" t="s">
        <v>334</v>
      </c>
      <c r="B71" s="11">
        <v>1</v>
      </c>
      <c r="C71" s="12" t="s">
        <v>21</v>
      </c>
      <c r="D71" s="39">
        <v>12000</v>
      </c>
      <c r="E71" s="12"/>
      <c r="F71" s="151">
        <f>D71*B71</f>
        <v>12000</v>
      </c>
      <c r="G71" s="2"/>
      <c r="J71" s="54"/>
    </row>
    <row r="72" spans="1:10" s="1" customFormat="1" x14ac:dyDescent="0.3">
      <c r="A72" s="152" t="s">
        <v>335</v>
      </c>
      <c r="B72" s="11">
        <v>1</v>
      </c>
      <c r="C72" s="12" t="s">
        <v>21</v>
      </c>
      <c r="D72" s="39">
        <v>3500</v>
      </c>
      <c r="E72" s="12"/>
      <c r="F72" s="151">
        <f>D72*B72</f>
        <v>3500</v>
      </c>
      <c r="G72" s="2"/>
      <c r="J72" s="54"/>
    </row>
    <row r="73" spans="1:10" s="1" customFormat="1" x14ac:dyDescent="0.3">
      <c r="A73" s="152"/>
      <c r="B73" s="11"/>
      <c r="C73" s="12"/>
      <c r="D73" s="69" t="s">
        <v>28</v>
      </c>
      <c r="E73" s="29" t="s">
        <v>44</v>
      </c>
      <c r="F73" s="153">
        <f>SUM(F70:F72)</f>
        <v>19100</v>
      </c>
      <c r="G73" s="2"/>
      <c r="J73" s="54"/>
    </row>
    <row r="74" spans="1:10" s="1" customFormat="1" x14ac:dyDescent="0.3">
      <c r="A74" s="150" t="s">
        <v>341</v>
      </c>
      <c r="B74" s="11"/>
      <c r="C74" s="12"/>
      <c r="D74" s="39"/>
      <c r="E74" s="12"/>
      <c r="F74" s="151"/>
      <c r="G74" s="2"/>
      <c r="J74" s="54"/>
    </row>
    <row r="75" spans="1:10" s="1" customFormat="1" x14ac:dyDescent="0.3">
      <c r="A75" s="152" t="s">
        <v>344</v>
      </c>
      <c r="B75" s="11">
        <v>31</v>
      </c>
      <c r="C75" s="12" t="s">
        <v>42</v>
      </c>
      <c r="D75" s="39">
        <v>120</v>
      </c>
      <c r="E75" s="12"/>
      <c r="F75" s="151">
        <f>D75*B75</f>
        <v>3720</v>
      </c>
      <c r="G75" s="2"/>
      <c r="J75" s="54"/>
    </row>
    <row r="76" spans="1:10" s="1" customFormat="1" x14ac:dyDescent="0.3">
      <c r="A76" s="152" t="s">
        <v>345</v>
      </c>
      <c r="B76" s="11">
        <v>31</v>
      </c>
      <c r="C76" s="12" t="s">
        <v>42</v>
      </c>
      <c r="D76" s="39">
        <v>210</v>
      </c>
      <c r="E76" s="12"/>
      <c r="F76" s="151">
        <f>D76*B76</f>
        <v>6510</v>
      </c>
      <c r="G76" s="2"/>
      <c r="J76" s="54"/>
    </row>
    <row r="77" spans="1:10" s="1" customFormat="1" x14ac:dyDescent="0.3">
      <c r="A77" s="152" t="s">
        <v>346</v>
      </c>
      <c r="B77" s="11">
        <v>6</v>
      </c>
      <c r="C77" s="12" t="s">
        <v>25</v>
      </c>
      <c r="D77" s="39">
        <v>280</v>
      </c>
      <c r="E77" s="12"/>
      <c r="F77" s="151">
        <f>D77*B77</f>
        <v>1680</v>
      </c>
      <c r="G77" s="2"/>
      <c r="J77" s="54"/>
    </row>
    <row r="78" spans="1:10" s="1" customFormat="1" x14ac:dyDescent="0.3">
      <c r="A78" s="152" t="s">
        <v>347</v>
      </c>
      <c r="B78" s="11">
        <v>6</v>
      </c>
      <c r="C78" s="12" t="s">
        <v>25</v>
      </c>
      <c r="D78" s="39">
        <v>500</v>
      </c>
      <c r="E78" s="12"/>
      <c r="F78" s="151">
        <f>D78*B78</f>
        <v>3000</v>
      </c>
      <c r="G78" s="2"/>
      <c r="J78" s="54"/>
    </row>
    <row r="79" spans="1:10" s="1" customFormat="1" x14ac:dyDescent="0.3">
      <c r="A79" s="152"/>
      <c r="B79" s="11"/>
      <c r="C79" s="12"/>
      <c r="D79" s="69" t="s">
        <v>28</v>
      </c>
      <c r="E79" s="29" t="s">
        <v>44</v>
      </c>
      <c r="F79" s="153">
        <f>SUM(F75:F78)</f>
        <v>14910</v>
      </c>
      <c r="G79" s="2"/>
      <c r="J79" s="54"/>
    </row>
    <row r="80" spans="1:10" x14ac:dyDescent="0.3">
      <c r="A80" s="154" t="s">
        <v>62</v>
      </c>
      <c r="B80" s="95"/>
      <c r="C80" s="95"/>
      <c r="D80" s="95"/>
      <c r="E80" s="95"/>
      <c r="F80" s="155"/>
    </row>
    <row r="81" spans="1:15" x14ac:dyDescent="0.3">
      <c r="A81" s="156"/>
      <c r="B81" s="98"/>
      <c r="C81" s="98"/>
      <c r="D81" s="98"/>
      <c r="E81" s="98"/>
      <c r="F81" s="157"/>
    </row>
    <row r="82" spans="1:15" x14ac:dyDescent="0.3">
      <c r="A82" s="158" t="s">
        <v>38</v>
      </c>
      <c r="B82" s="79"/>
      <c r="C82" s="79"/>
      <c r="D82" s="79"/>
      <c r="E82" s="79"/>
      <c r="F82" s="159"/>
    </row>
    <row r="83" spans="1:15" x14ac:dyDescent="0.3">
      <c r="A83" s="160"/>
      <c r="B83" s="82"/>
      <c r="C83" s="82"/>
      <c r="D83" s="82"/>
      <c r="E83" s="82"/>
      <c r="F83" s="161"/>
    </row>
    <row r="84" spans="1:15" x14ac:dyDescent="0.3">
      <c r="A84" s="162" t="s">
        <v>63</v>
      </c>
      <c r="B84" s="85"/>
      <c r="C84" s="85"/>
      <c r="D84" s="85"/>
      <c r="E84" s="85"/>
      <c r="F84" s="163"/>
    </row>
    <row r="85" spans="1:15" ht="17.25" thickBot="1" x14ac:dyDescent="0.35">
      <c r="A85" s="164" t="s">
        <v>314</v>
      </c>
      <c r="B85" s="165"/>
      <c r="C85" s="165"/>
      <c r="D85" s="165"/>
      <c r="E85" s="165"/>
      <c r="F85" s="166"/>
    </row>
    <row r="86" spans="1:15" x14ac:dyDescent="0.3">
      <c r="A86" s="109"/>
      <c r="B86" s="110"/>
      <c r="C86" s="110"/>
      <c r="D86" s="110"/>
      <c r="E86" s="110"/>
      <c r="F86" s="111"/>
    </row>
    <row r="87" spans="1:15" x14ac:dyDescent="0.3">
      <c r="A87" s="5"/>
      <c r="B87" s="4"/>
      <c r="C87" s="4"/>
      <c r="D87" s="55"/>
      <c r="E87" s="4"/>
      <c r="F87" s="13"/>
    </row>
    <row r="88" spans="1:15" x14ac:dyDescent="0.3">
      <c r="A88" s="5"/>
      <c r="B88" s="4"/>
      <c r="C88" s="4"/>
      <c r="D88" s="55"/>
      <c r="E88" s="4"/>
      <c r="F88" s="14"/>
    </row>
    <row r="89" spans="1:15" x14ac:dyDescent="0.3">
      <c r="A89" s="47"/>
      <c r="B89" s="91"/>
      <c r="C89" s="91"/>
      <c r="D89" s="91"/>
      <c r="E89" s="91"/>
      <c r="F89" s="91"/>
    </row>
    <row r="92" spans="1:15" x14ac:dyDescent="0.3">
      <c r="K92" s="108" t="s">
        <v>15</v>
      </c>
      <c r="L92" s="108" t="s">
        <v>342</v>
      </c>
      <c r="M92" s="108" t="s">
        <v>17</v>
      </c>
      <c r="N92" s="108" t="s">
        <v>343</v>
      </c>
      <c r="O92" s="108" t="s">
        <v>18</v>
      </c>
    </row>
    <row r="93" spans="1:15" ht="30" x14ac:dyDescent="0.3">
      <c r="K93" s="74" t="s">
        <v>344</v>
      </c>
      <c r="L93" s="74">
        <v>31</v>
      </c>
      <c r="M93" s="74" t="s">
        <v>42</v>
      </c>
      <c r="N93" s="74">
        <v>80</v>
      </c>
      <c r="O93" s="75">
        <v>2480</v>
      </c>
    </row>
    <row r="94" spans="1:15" ht="45" x14ac:dyDescent="0.3">
      <c r="C94" s="74" t="s">
        <v>333</v>
      </c>
      <c r="D94" s="74">
        <v>8</v>
      </c>
      <c r="E94" s="74" t="s">
        <v>25</v>
      </c>
      <c r="F94" s="74">
        <v>450</v>
      </c>
      <c r="G94" s="75">
        <v>3600</v>
      </c>
      <c r="K94" s="74" t="s">
        <v>345</v>
      </c>
      <c r="L94" s="74">
        <v>31</v>
      </c>
      <c r="M94" s="74" t="s">
        <v>42</v>
      </c>
      <c r="N94" s="74">
        <v>180</v>
      </c>
      <c r="O94" s="75">
        <v>5580</v>
      </c>
    </row>
    <row r="95" spans="1:15" ht="75" x14ac:dyDescent="0.3">
      <c r="C95" s="74" t="s">
        <v>334</v>
      </c>
      <c r="D95" s="74">
        <v>1</v>
      </c>
      <c r="E95" s="74" t="s">
        <v>21</v>
      </c>
      <c r="F95" s="75">
        <v>8000</v>
      </c>
      <c r="G95" s="75">
        <v>8000</v>
      </c>
      <c r="K95" s="74" t="s">
        <v>346</v>
      </c>
      <c r="L95" s="74">
        <v>6</v>
      </c>
      <c r="M95" s="74" t="s">
        <v>25</v>
      </c>
      <c r="N95" s="74">
        <v>250</v>
      </c>
      <c r="O95" s="75">
        <v>1500</v>
      </c>
    </row>
    <row r="96" spans="1:15" ht="60" x14ac:dyDescent="0.3">
      <c r="C96" s="74" t="s">
        <v>335</v>
      </c>
      <c r="D96" s="74">
        <v>1</v>
      </c>
      <c r="E96" s="74" t="s">
        <v>21</v>
      </c>
      <c r="F96" s="75">
        <v>2500</v>
      </c>
      <c r="G96"/>
      <c r="K96" s="74" t="s">
        <v>347</v>
      </c>
      <c r="L96" s="74">
        <v>6</v>
      </c>
      <c r="M96" s="74" t="s">
        <v>25</v>
      </c>
      <c r="N96" s="74">
        <v>400</v>
      </c>
      <c r="O96" s="75">
        <v>2400</v>
      </c>
    </row>
    <row r="97" spans="3:15" x14ac:dyDescent="0.3">
      <c r="K97" s="74" t="s">
        <v>348</v>
      </c>
      <c r="L97" s="74">
        <v>1</v>
      </c>
      <c r="M97" s="74" t="s">
        <v>21</v>
      </c>
      <c r="N97" s="75">
        <v>6000</v>
      </c>
      <c r="O97" s="75">
        <v>6000</v>
      </c>
    </row>
    <row r="98" spans="3:15" ht="60" x14ac:dyDescent="0.3">
      <c r="C98" s="76" t="s">
        <v>319</v>
      </c>
      <c r="D98" s="76">
        <v>31</v>
      </c>
      <c r="E98" s="76" t="s">
        <v>42</v>
      </c>
      <c r="F98" s="76">
        <v>250</v>
      </c>
      <c r="G98" s="77">
        <v>7750</v>
      </c>
      <c r="K98" s="76" t="s">
        <v>349</v>
      </c>
      <c r="L98" s="74"/>
      <c r="M98" s="74"/>
      <c r="N98" s="74"/>
      <c r="O98" s="77">
        <v>17960</v>
      </c>
    </row>
    <row r="99" spans="3:15" ht="45" x14ac:dyDescent="0.3">
      <c r="C99" s="76" t="s">
        <v>320</v>
      </c>
      <c r="D99" s="76">
        <v>3.1</v>
      </c>
      <c r="E99" s="76" t="s">
        <v>77</v>
      </c>
      <c r="F99" s="77">
        <v>1500</v>
      </c>
      <c r="G99" s="77">
        <v>4650</v>
      </c>
    </row>
    <row r="100" spans="3:15" ht="90" x14ac:dyDescent="0.3">
      <c r="C100" s="76" t="s">
        <v>321</v>
      </c>
      <c r="D100" s="76">
        <v>350</v>
      </c>
      <c r="E100" s="76" t="s">
        <v>81</v>
      </c>
      <c r="F100" s="76">
        <v>75</v>
      </c>
      <c r="G100" s="77">
        <v>26250</v>
      </c>
    </row>
    <row r="101" spans="3:15" ht="60" x14ac:dyDescent="0.3">
      <c r="C101" s="76" t="s">
        <v>322</v>
      </c>
      <c r="D101" s="76">
        <v>31</v>
      </c>
      <c r="E101" s="76" t="s">
        <v>42</v>
      </c>
      <c r="F101" s="76">
        <v>450</v>
      </c>
      <c r="G101" s="77">
        <v>13950</v>
      </c>
    </row>
    <row r="102" spans="3:15" ht="60" x14ac:dyDescent="0.3">
      <c r="C102" s="76" t="s">
        <v>323</v>
      </c>
      <c r="D102" s="76">
        <v>3.1</v>
      </c>
      <c r="E102" s="76" t="s">
        <v>77</v>
      </c>
      <c r="F102" s="77">
        <v>5500</v>
      </c>
      <c r="G102" s="77">
        <v>17050</v>
      </c>
    </row>
    <row r="103" spans="3:15" ht="60" x14ac:dyDescent="0.3">
      <c r="C103" s="76" t="s">
        <v>324</v>
      </c>
      <c r="D103" s="76">
        <v>1</v>
      </c>
      <c r="E103" s="76" t="s">
        <v>21</v>
      </c>
      <c r="F103" s="77">
        <v>18000</v>
      </c>
      <c r="G103" s="77">
        <v>18000</v>
      </c>
    </row>
    <row r="106" spans="3:15" ht="90" x14ac:dyDescent="0.3">
      <c r="C106" s="74" t="s">
        <v>327</v>
      </c>
      <c r="D106" s="74">
        <v>5</v>
      </c>
      <c r="E106" s="74" t="s">
        <v>25</v>
      </c>
      <c r="F106" s="75">
        <v>6000</v>
      </c>
      <c r="G106" s="75">
        <v>30000</v>
      </c>
    </row>
    <row r="107" spans="3:15" ht="75" x14ac:dyDescent="0.3">
      <c r="C107" s="74" t="s">
        <v>328</v>
      </c>
      <c r="D107" s="74">
        <v>6</v>
      </c>
      <c r="E107" s="74" t="s">
        <v>25</v>
      </c>
      <c r="F107" s="75">
        <v>1200</v>
      </c>
      <c r="G107" s="75">
        <v>7200</v>
      </c>
    </row>
    <row r="108" spans="3:15" ht="45" x14ac:dyDescent="0.3">
      <c r="C108" s="74" t="s">
        <v>329</v>
      </c>
      <c r="D108" s="74">
        <v>8</v>
      </c>
      <c r="E108" s="74" t="s">
        <v>25</v>
      </c>
      <c r="F108" s="74">
        <v>750</v>
      </c>
      <c r="G108" s="75">
        <v>6000</v>
      </c>
    </row>
    <row r="109" spans="3:15" ht="45" x14ac:dyDescent="0.3">
      <c r="C109" s="74" t="s">
        <v>330</v>
      </c>
      <c r="D109" s="74">
        <v>18</v>
      </c>
      <c r="E109" s="74" t="s">
        <v>25</v>
      </c>
      <c r="F109" s="74">
        <v>660</v>
      </c>
      <c r="G109" s="75">
        <v>11880</v>
      </c>
    </row>
    <row r="110" spans="3:15" ht="45" x14ac:dyDescent="0.3">
      <c r="C110" s="74" t="s">
        <v>331</v>
      </c>
      <c r="D110" s="74">
        <v>1</v>
      </c>
      <c r="E110" s="74" t="s">
        <v>21</v>
      </c>
      <c r="F110" s="75">
        <v>6000</v>
      </c>
      <c r="G110" s="75">
        <v>6000</v>
      </c>
    </row>
    <row r="111" spans="3:15" ht="45" x14ac:dyDescent="0.3">
      <c r="C111" s="74" t="s">
        <v>332</v>
      </c>
      <c r="D111" s="74">
        <v>1</v>
      </c>
      <c r="E111" s="74" t="s">
        <v>21</v>
      </c>
      <c r="F111" s="75">
        <v>20000</v>
      </c>
      <c r="G111"/>
    </row>
    <row r="118" spans="1:10" s="1" customFormat="1" x14ac:dyDescent="0.3">
      <c r="A118" s="92" t="s">
        <v>60</v>
      </c>
      <c r="B118" s="93"/>
      <c r="C118" s="93"/>
      <c r="D118" s="93"/>
      <c r="E118" s="93"/>
      <c r="F118" s="93"/>
      <c r="G118" s="2"/>
      <c r="J118" s="54"/>
    </row>
    <row r="119" spans="1:10" s="1" customFormat="1" x14ac:dyDescent="0.3">
      <c r="A119" s="93"/>
      <c r="B119" s="93"/>
      <c r="C119" s="93"/>
      <c r="D119" s="93"/>
      <c r="E119" s="93"/>
      <c r="F119" s="93"/>
      <c r="G119" s="2"/>
      <c r="J119" s="54"/>
    </row>
    <row r="120" spans="1:10" s="1" customFormat="1" x14ac:dyDescent="0.3">
      <c r="A120" s="93"/>
      <c r="B120" s="93"/>
      <c r="C120" s="93"/>
      <c r="D120" s="93"/>
      <c r="E120" s="93"/>
      <c r="F120" s="93"/>
      <c r="G120" s="2"/>
      <c r="J120" s="54"/>
    </row>
    <row r="121" spans="1:10" s="1" customFormat="1" x14ac:dyDescent="0.3">
      <c r="A121" s="93"/>
      <c r="B121" s="93"/>
      <c r="C121" s="93"/>
      <c r="D121" s="93"/>
      <c r="E121" s="93"/>
      <c r="F121" s="93"/>
      <c r="G121" s="2"/>
      <c r="J121" s="54"/>
    </row>
    <row r="122" spans="1:10" s="1" customFormat="1" x14ac:dyDescent="0.3">
      <c r="A122" s="93"/>
      <c r="B122" s="93"/>
      <c r="C122" s="93"/>
      <c r="D122" s="93"/>
      <c r="E122" s="93"/>
      <c r="F122" s="93"/>
      <c r="G122" s="2"/>
      <c r="J122" s="54"/>
    </row>
    <row r="123" spans="1:10" s="1" customFormat="1" x14ac:dyDescent="0.3">
      <c r="A123" s="93"/>
      <c r="B123" s="93"/>
      <c r="C123" s="93"/>
      <c r="D123" s="93"/>
      <c r="E123" s="93"/>
      <c r="F123" s="93"/>
      <c r="G123" s="2"/>
      <c r="J123" s="54"/>
    </row>
  </sheetData>
  <mergeCells count="17">
    <mergeCell ref="A37:B37"/>
    <mergeCell ref="D37:F37"/>
    <mergeCell ref="A3:F3"/>
    <mergeCell ref="A4:F4"/>
    <mergeCell ref="A5:F5"/>
    <mergeCell ref="A7:F7"/>
    <mergeCell ref="A14:F14"/>
    <mergeCell ref="A118:F123"/>
    <mergeCell ref="A80:F81"/>
    <mergeCell ref="A38:B38"/>
    <mergeCell ref="D38:F38"/>
    <mergeCell ref="E54:F54"/>
    <mergeCell ref="A82:F83"/>
    <mergeCell ref="A84:F84"/>
    <mergeCell ref="A85:F85"/>
    <mergeCell ref="A86:F86"/>
    <mergeCell ref="B89:F89"/>
  </mergeCells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Montenegro</vt:lpstr>
      <vt:lpstr>Sheet1</vt:lpstr>
      <vt:lpstr>Montenegro!Print_Area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Abdurauf Sawadjaan</cp:lastModifiedBy>
  <cp:lastPrinted>2026-03-31T07:43:58Z</cp:lastPrinted>
  <dcterms:created xsi:type="dcterms:W3CDTF">2021-05-22T06:26:04Z</dcterms:created>
  <dcterms:modified xsi:type="dcterms:W3CDTF">2026-03-31T07:44:01Z</dcterms:modified>
</cp:coreProperties>
</file>